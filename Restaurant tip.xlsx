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15a1998630deaf/Desktop/Simplilearn/Excel/Project/"/>
    </mc:Choice>
  </mc:AlternateContent>
  <xr:revisionPtr revIDLastSave="281" documentId="8_{C51191D7-1E82-4F9D-AC0B-8922E0C1A841}" xr6:coauthVersionLast="47" xr6:coauthVersionMax="47" xr10:uidLastSave="{C62A5217-4EC1-46C1-8424-450FE29EF9D1}"/>
  <bookViews>
    <workbookView xWindow="28680" yWindow="-120" windowWidth="29040" windowHeight="15720" activeTab="1" xr2:uid="{E39F1B53-3127-4D6C-88BD-079CCE5E8692}"/>
  </bookViews>
  <sheets>
    <sheet name="Original Dataset" sheetId="1" r:id="rId1"/>
    <sheet name="Solution" sheetId="2" r:id="rId2"/>
  </sheets>
  <definedNames>
    <definedName name="_xlnm._FilterDatabase" localSheetId="1" hidden="1">Solution!$A$1:$I$244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8" i="2" l="1"/>
  <c r="J2" i="2"/>
  <c r="K2" i="2" s="1"/>
  <c r="L2" i="2" s="1"/>
  <c r="L205" i="2"/>
  <c r="L225" i="2"/>
  <c r="L226" i="2"/>
  <c r="K5" i="2"/>
  <c r="L5" i="2" s="1"/>
  <c r="K6" i="2"/>
  <c r="L6" i="2" s="1"/>
  <c r="K17" i="2"/>
  <c r="L17" i="2" s="1"/>
  <c r="K18" i="2"/>
  <c r="L18" i="2" s="1"/>
  <c r="K25" i="2"/>
  <c r="L25" i="2" s="1"/>
  <c r="K26" i="2"/>
  <c r="L26" i="2" s="1"/>
  <c r="K37" i="2"/>
  <c r="L37" i="2" s="1"/>
  <c r="K38" i="2"/>
  <c r="L38" i="2" s="1"/>
  <c r="K45" i="2"/>
  <c r="L45" i="2" s="1"/>
  <c r="K46" i="2"/>
  <c r="L46" i="2" s="1"/>
  <c r="K57" i="2"/>
  <c r="L57" i="2" s="1"/>
  <c r="K58" i="2"/>
  <c r="L58" i="2" s="1"/>
  <c r="K65" i="2"/>
  <c r="L65" i="2" s="1"/>
  <c r="K66" i="2"/>
  <c r="L66" i="2" s="1"/>
  <c r="K77" i="2"/>
  <c r="L77" i="2" s="1"/>
  <c r="K78" i="2"/>
  <c r="L78" i="2" s="1"/>
  <c r="K85" i="2"/>
  <c r="L85" i="2" s="1"/>
  <c r="K86" i="2"/>
  <c r="L86" i="2" s="1"/>
  <c r="K97" i="2"/>
  <c r="L97" i="2" s="1"/>
  <c r="K98" i="2"/>
  <c r="L98" i="2" s="1"/>
  <c r="K105" i="2"/>
  <c r="L105" i="2" s="1"/>
  <c r="K106" i="2"/>
  <c r="L106" i="2" s="1"/>
  <c r="K117" i="2"/>
  <c r="L117" i="2" s="1"/>
  <c r="K118" i="2"/>
  <c r="L118" i="2" s="1"/>
  <c r="K125" i="2"/>
  <c r="L125" i="2" s="1"/>
  <c r="K126" i="2"/>
  <c r="L126" i="2" s="1"/>
  <c r="K137" i="2"/>
  <c r="L137" i="2" s="1"/>
  <c r="K138" i="2"/>
  <c r="L138" i="2" s="1"/>
  <c r="K145" i="2"/>
  <c r="L145" i="2" s="1"/>
  <c r="K146" i="2"/>
  <c r="L146" i="2" s="1"/>
  <c r="K157" i="2"/>
  <c r="L157" i="2" s="1"/>
  <c r="K158" i="2"/>
  <c r="L158" i="2" s="1"/>
  <c r="K165" i="2"/>
  <c r="L165" i="2" s="1"/>
  <c r="K166" i="2"/>
  <c r="L166" i="2" s="1"/>
  <c r="K177" i="2"/>
  <c r="L177" i="2" s="1"/>
  <c r="K178" i="2"/>
  <c r="L178" i="2" s="1"/>
  <c r="K185" i="2"/>
  <c r="L185" i="2" s="1"/>
  <c r="K186" i="2"/>
  <c r="L186" i="2" s="1"/>
  <c r="K197" i="2"/>
  <c r="L197" i="2" s="1"/>
  <c r="K198" i="2"/>
  <c r="L198" i="2" s="1"/>
  <c r="K205" i="2"/>
  <c r="K206" i="2"/>
  <c r="L206" i="2" s="1"/>
  <c r="K217" i="2"/>
  <c r="L217" i="2" s="1"/>
  <c r="K218" i="2"/>
  <c r="L218" i="2" s="1"/>
  <c r="K225" i="2"/>
  <c r="K226" i="2"/>
  <c r="K237" i="2"/>
  <c r="L237" i="2" s="1"/>
  <c r="K238" i="2"/>
  <c r="L238" i="2" s="1"/>
  <c r="J3" i="2"/>
  <c r="K3" i="2" s="1"/>
  <c r="L3" i="2" s="1"/>
  <c r="J4" i="2"/>
  <c r="K4" i="2" s="1"/>
  <c r="L4" i="2" s="1"/>
  <c r="J5" i="2"/>
  <c r="J6" i="2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J18" i="2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J26" i="2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  <c r="J34" i="2"/>
  <c r="K34" i="2" s="1"/>
  <c r="L34" i="2" s="1"/>
  <c r="J35" i="2"/>
  <c r="K35" i="2" s="1"/>
  <c r="L35" i="2" s="1"/>
  <c r="J36" i="2"/>
  <c r="K36" i="2" s="1"/>
  <c r="L36" i="2" s="1"/>
  <c r="J37" i="2"/>
  <c r="J38" i="2"/>
  <c r="J39" i="2"/>
  <c r="K39" i="2" s="1"/>
  <c r="L39" i="2" s="1"/>
  <c r="J40" i="2"/>
  <c r="K40" i="2" s="1"/>
  <c r="L40" i="2" s="1"/>
  <c r="J41" i="2"/>
  <c r="K41" i="2" s="1"/>
  <c r="L41" i="2" s="1"/>
  <c r="J42" i="2"/>
  <c r="K42" i="2" s="1"/>
  <c r="L42" i="2" s="1"/>
  <c r="J43" i="2"/>
  <c r="K43" i="2" s="1"/>
  <c r="L43" i="2" s="1"/>
  <c r="J44" i="2"/>
  <c r="K44" i="2" s="1"/>
  <c r="L44" i="2" s="1"/>
  <c r="J45" i="2"/>
  <c r="J46" i="2"/>
  <c r="J47" i="2"/>
  <c r="K47" i="2" s="1"/>
  <c r="L47" i="2" s="1"/>
  <c r="J48" i="2"/>
  <c r="K48" i="2" s="1"/>
  <c r="L48" i="2" s="1"/>
  <c r="J49" i="2"/>
  <c r="K49" i="2" s="1"/>
  <c r="L49" i="2" s="1"/>
  <c r="J50" i="2"/>
  <c r="K50" i="2" s="1"/>
  <c r="L50" i="2" s="1"/>
  <c r="J51" i="2"/>
  <c r="K51" i="2" s="1"/>
  <c r="L51" i="2" s="1"/>
  <c r="J52" i="2"/>
  <c r="K52" i="2" s="1"/>
  <c r="L52" i="2" s="1"/>
  <c r="J53" i="2"/>
  <c r="K53" i="2" s="1"/>
  <c r="L53" i="2" s="1"/>
  <c r="J54" i="2"/>
  <c r="K54" i="2" s="1"/>
  <c r="L54" i="2" s="1"/>
  <c r="J55" i="2"/>
  <c r="K55" i="2" s="1"/>
  <c r="L55" i="2" s="1"/>
  <c r="J56" i="2"/>
  <c r="K56" i="2" s="1"/>
  <c r="L56" i="2" s="1"/>
  <c r="J57" i="2"/>
  <c r="J58" i="2"/>
  <c r="J59" i="2"/>
  <c r="K59" i="2" s="1"/>
  <c r="L59" i="2" s="1"/>
  <c r="J60" i="2"/>
  <c r="K60" i="2" s="1"/>
  <c r="L60" i="2" s="1"/>
  <c r="J61" i="2"/>
  <c r="K61" i="2" s="1"/>
  <c r="L61" i="2" s="1"/>
  <c r="J62" i="2"/>
  <c r="K62" i="2" s="1"/>
  <c r="L62" i="2" s="1"/>
  <c r="J63" i="2"/>
  <c r="K63" i="2" s="1"/>
  <c r="L63" i="2" s="1"/>
  <c r="J64" i="2"/>
  <c r="K64" i="2" s="1"/>
  <c r="L64" i="2" s="1"/>
  <c r="J65" i="2"/>
  <c r="J66" i="2"/>
  <c r="J67" i="2"/>
  <c r="K67" i="2" s="1"/>
  <c r="L67" i="2" s="1"/>
  <c r="J68" i="2"/>
  <c r="K68" i="2" s="1"/>
  <c r="L68" i="2" s="1"/>
  <c r="J69" i="2"/>
  <c r="K69" i="2" s="1"/>
  <c r="L69" i="2" s="1"/>
  <c r="J70" i="2"/>
  <c r="K70" i="2" s="1"/>
  <c r="L70" i="2" s="1"/>
  <c r="J71" i="2"/>
  <c r="K71" i="2" s="1"/>
  <c r="L71" i="2" s="1"/>
  <c r="J72" i="2"/>
  <c r="K72" i="2" s="1"/>
  <c r="L72" i="2" s="1"/>
  <c r="J73" i="2"/>
  <c r="K73" i="2" s="1"/>
  <c r="L73" i="2" s="1"/>
  <c r="J74" i="2"/>
  <c r="K74" i="2" s="1"/>
  <c r="L74" i="2" s="1"/>
  <c r="J75" i="2"/>
  <c r="K75" i="2" s="1"/>
  <c r="L75" i="2" s="1"/>
  <c r="J76" i="2"/>
  <c r="K76" i="2" s="1"/>
  <c r="L76" i="2" s="1"/>
  <c r="J77" i="2"/>
  <c r="J78" i="2"/>
  <c r="J79" i="2"/>
  <c r="K79" i="2" s="1"/>
  <c r="L79" i="2" s="1"/>
  <c r="J80" i="2"/>
  <c r="K80" i="2" s="1"/>
  <c r="L80" i="2" s="1"/>
  <c r="J81" i="2"/>
  <c r="K81" i="2" s="1"/>
  <c r="L81" i="2" s="1"/>
  <c r="J82" i="2"/>
  <c r="K82" i="2" s="1"/>
  <c r="L82" i="2" s="1"/>
  <c r="J83" i="2"/>
  <c r="K83" i="2" s="1"/>
  <c r="L83" i="2" s="1"/>
  <c r="J84" i="2"/>
  <c r="K84" i="2" s="1"/>
  <c r="L84" i="2" s="1"/>
  <c r="J85" i="2"/>
  <c r="J86" i="2"/>
  <c r="J87" i="2"/>
  <c r="K87" i="2" s="1"/>
  <c r="L87" i="2" s="1"/>
  <c r="J88" i="2"/>
  <c r="K88" i="2" s="1"/>
  <c r="L88" i="2" s="1"/>
  <c r="J89" i="2"/>
  <c r="K89" i="2" s="1"/>
  <c r="L89" i="2" s="1"/>
  <c r="J90" i="2"/>
  <c r="K90" i="2" s="1"/>
  <c r="L90" i="2" s="1"/>
  <c r="J91" i="2"/>
  <c r="K91" i="2" s="1"/>
  <c r="L91" i="2" s="1"/>
  <c r="J92" i="2"/>
  <c r="K92" i="2" s="1"/>
  <c r="L92" i="2" s="1"/>
  <c r="J93" i="2"/>
  <c r="K93" i="2" s="1"/>
  <c r="L93" i="2" s="1"/>
  <c r="J94" i="2"/>
  <c r="K94" i="2" s="1"/>
  <c r="L94" i="2" s="1"/>
  <c r="J95" i="2"/>
  <c r="K95" i="2" s="1"/>
  <c r="L95" i="2" s="1"/>
  <c r="J96" i="2"/>
  <c r="K96" i="2" s="1"/>
  <c r="L96" i="2" s="1"/>
  <c r="J97" i="2"/>
  <c r="J98" i="2"/>
  <c r="J99" i="2"/>
  <c r="K99" i="2" s="1"/>
  <c r="L99" i="2" s="1"/>
  <c r="J100" i="2"/>
  <c r="K100" i="2" s="1"/>
  <c r="L100" i="2" s="1"/>
  <c r="J101" i="2"/>
  <c r="K101" i="2" s="1"/>
  <c r="L101" i="2" s="1"/>
  <c r="J102" i="2"/>
  <c r="K102" i="2" s="1"/>
  <c r="L102" i="2" s="1"/>
  <c r="J103" i="2"/>
  <c r="K103" i="2" s="1"/>
  <c r="L103" i="2" s="1"/>
  <c r="J104" i="2"/>
  <c r="K104" i="2" s="1"/>
  <c r="L104" i="2" s="1"/>
  <c r="J105" i="2"/>
  <c r="J106" i="2"/>
  <c r="J107" i="2"/>
  <c r="K107" i="2" s="1"/>
  <c r="L107" i="2" s="1"/>
  <c r="J108" i="2"/>
  <c r="K108" i="2" s="1"/>
  <c r="L108" i="2" s="1"/>
  <c r="J109" i="2"/>
  <c r="K109" i="2" s="1"/>
  <c r="L109" i="2" s="1"/>
  <c r="J110" i="2"/>
  <c r="K110" i="2" s="1"/>
  <c r="L110" i="2" s="1"/>
  <c r="J111" i="2"/>
  <c r="K111" i="2" s="1"/>
  <c r="L111" i="2" s="1"/>
  <c r="J112" i="2"/>
  <c r="K112" i="2" s="1"/>
  <c r="L112" i="2" s="1"/>
  <c r="J113" i="2"/>
  <c r="K113" i="2" s="1"/>
  <c r="L113" i="2" s="1"/>
  <c r="J114" i="2"/>
  <c r="K114" i="2" s="1"/>
  <c r="L114" i="2" s="1"/>
  <c r="J115" i="2"/>
  <c r="K115" i="2" s="1"/>
  <c r="L115" i="2" s="1"/>
  <c r="J116" i="2"/>
  <c r="K116" i="2" s="1"/>
  <c r="L116" i="2" s="1"/>
  <c r="J117" i="2"/>
  <c r="J118" i="2"/>
  <c r="J119" i="2"/>
  <c r="K119" i="2" s="1"/>
  <c r="L119" i="2" s="1"/>
  <c r="J120" i="2"/>
  <c r="K120" i="2" s="1"/>
  <c r="L120" i="2" s="1"/>
  <c r="J121" i="2"/>
  <c r="K121" i="2" s="1"/>
  <c r="L121" i="2" s="1"/>
  <c r="J122" i="2"/>
  <c r="K122" i="2" s="1"/>
  <c r="L122" i="2" s="1"/>
  <c r="J123" i="2"/>
  <c r="K123" i="2" s="1"/>
  <c r="L123" i="2" s="1"/>
  <c r="J124" i="2"/>
  <c r="K124" i="2" s="1"/>
  <c r="L124" i="2" s="1"/>
  <c r="J125" i="2"/>
  <c r="J126" i="2"/>
  <c r="J127" i="2"/>
  <c r="K127" i="2" s="1"/>
  <c r="L127" i="2" s="1"/>
  <c r="J128" i="2"/>
  <c r="K128" i="2" s="1"/>
  <c r="L128" i="2" s="1"/>
  <c r="J129" i="2"/>
  <c r="K129" i="2" s="1"/>
  <c r="L129" i="2" s="1"/>
  <c r="J130" i="2"/>
  <c r="K130" i="2" s="1"/>
  <c r="L130" i="2" s="1"/>
  <c r="J131" i="2"/>
  <c r="K131" i="2" s="1"/>
  <c r="L131" i="2" s="1"/>
  <c r="J132" i="2"/>
  <c r="K132" i="2" s="1"/>
  <c r="L132" i="2" s="1"/>
  <c r="J133" i="2"/>
  <c r="K133" i="2" s="1"/>
  <c r="L133" i="2" s="1"/>
  <c r="J134" i="2"/>
  <c r="K134" i="2" s="1"/>
  <c r="L134" i="2" s="1"/>
  <c r="J135" i="2"/>
  <c r="K135" i="2" s="1"/>
  <c r="L135" i="2" s="1"/>
  <c r="J136" i="2"/>
  <c r="K136" i="2" s="1"/>
  <c r="L136" i="2" s="1"/>
  <c r="J137" i="2"/>
  <c r="J138" i="2"/>
  <c r="J139" i="2"/>
  <c r="K139" i="2" s="1"/>
  <c r="L139" i="2" s="1"/>
  <c r="J140" i="2"/>
  <c r="K140" i="2" s="1"/>
  <c r="L140" i="2" s="1"/>
  <c r="J141" i="2"/>
  <c r="K141" i="2" s="1"/>
  <c r="L141" i="2" s="1"/>
  <c r="J142" i="2"/>
  <c r="K142" i="2" s="1"/>
  <c r="L142" i="2" s="1"/>
  <c r="J143" i="2"/>
  <c r="K143" i="2" s="1"/>
  <c r="L143" i="2" s="1"/>
  <c r="J144" i="2"/>
  <c r="K144" i="2" s="1"/>
  <c r="L144" i="2" s="1"/>
  <c r="J145" i="2"/>
  <c r="J146" i="2"/>
  <c r="J147" i="2"/>
  <c r="K147" i="2" s="1"/>
  <c r="L147" i="2" s="1"/>
  <c r="J148" i="2"/>
  <c r="K148" i="2" s="1"/>
  <c r="L148" i="2" s="1"/>
  <c r="J149" i="2"/>
  <c r="K149" i="2" s="1"/>
  <c r="L149" i="2" s="1"/>
  <c r="J150" i="2"/>
  <c r="K150" i="2" s="1"/>
  <c r="L150" i="2" s="1"/>
  <c r="J151" i="2"/>
  <c r="K151" i="2" s="1"/>
  <c r="L151" i="2" s="1"/>
  <c r="J152" i="2"/>
  <c r="K152" i="2" s="1"/>
  <c r="L152" i="2" s="1"/>
  <c r="J153" i="2"/>
  <c r="K153" i="2" s="1"/>
  <c r="L153" i="2" s="1"/>
  <c r="J154" i="2"/>
  <c r="K154" i="2" s="1"/>
  <c r="L154" i="2" s="1"/>
  <c r="J155" i="2"/>
  <c r="K155" i="2" s="1"/>
  <c r="L155" i="2" s="1"/>
  <c r="J156" i="2"/>
  <c r="K156" i="2" s="1"/>
  <c r="L156" i="2" s="1"/>
  <c r="J157" i="2"/>
  <c r="J158" i="2"/>
  <c r="J159" i="2"/>
  <c r="K159" i="2" s="1"/>
  <c r="L159" i="2" s="1"/>
  <c r="J160" i="2"/>
  <c r="K160" i="2" s="1"/>
  <c r="L160" i="2" s="1"/>
  <c r="J161" i="2"/>
  <c r="K161" i="2" s="1"/>
  <c r="L161" i="2" s="1"/>
  <c r="J162" i="2"/>
  <c r="K162" i="2" s="1"/>
  <c r="L162" i="2" s="1"/>
  <c r="J163" i="2"/>
  <c r="K163" i="2" s="1"/>
  <c r="L163" i="2" s="1"/>
  <c r="J164" i="2"/>
  <c r="K164" i="2" s="1"/>
  <c r="L164" i="2" s="1"/>
  <c r="J165" i="2"/>
  <c r="J166" i="2"/>
  <c r="J167" i="2"/>
  <c r="K167" i="2" s="1"/>
  <c r="L167" i="2" s="1"/>
  <c r="J168" i="2"/>
  <c r="K168" i="2" s="1"/>
  <c r="L168" i="2" s="1"/>
  <c r="J169" i="2"/>
  <c r="K169" i="2" s="1"/>
  <c r="L169" i="2" s="1"/>
  <c r="J170" i="2"/>
  <c r="K170" i="2" s="1"/>
  <c r="L170" i="2" s="1"/>
  <c r="J171" i="2"/>
  <c r="K171" i="2" s="1"/>
  <c r="L171" i="2" s="1"/>
  <c r="J172" i="2"/>
  <c r="K172" i="2" s="1"/>
  <c r="L172" i="2" s="1"/>
  <c r="J173" i="2"/>
  <c r="K173" i="2" s="1"/>
  <c r="L173" i="2" s="1"/>
  <c r="J174" i="2"/>
  <c r="K174" i="2" s="1"/>
  <c r="L174" i="2" s="1"/>
  <c r="J175" i="2"/>
  <c r="K175" i="2" s="1"/>
  <c r="L175" i="2" s="1"/>
  <c r="J176" i="2"/>
  <c r="K176" i="2" s="1"/>
  <c r="L176" i="2" s="1"/>
  <c r="J177" i="2"/>
  <c r="J178" i="2"/>
  <c r="J179" i="2"/>
  <c r="K179" i="2" s="1"/>
  <c r="L179" i="2" s="1"/>
  <c r="J180" i="2"/>
  <c r="K180" i="2" s="1"/>
  <c r="L180" i="2" s="1"/>
  <c r="J181" i="2"/>
  <c r="K181" i="2" s="1"/>
  <c r="L181" i="2" s="1"/>
  <c r="J182" i="2"/>
  <c r="K182" i="2" s="1"/>
  <c r="L182" i="2" s="1"/>
  <c r="J183" i="2"/>
  <c r="K183" i="2" s="1"/>
  <c r="L183" i="2" s="1"/>
  <c r="J184" i="2"/>
  <c r="K184" i="2" s="1"/>
  <c r="L184" i="2" s="1"/>
  <c r="J185" i="2"/>
  <c r="J186" i="2"/>
  <c r="J187" i="2"/>
  <c r="K187" i="2" s="1"/>
  <c r="L187" i="2" s="1"/>
  <c r="J188" i="2"/>
  <c r="K188" i="2" s="1"/>
  <c r="L188" i="2" s="1"/>
  <c r="J189" i="2"/>
  <c r="K189" i="2" s="1"/>
  <c r="L189" i="2" s="1"/>
  <c r="J190" i="2"/>
  <c r="K190" i="2" s="1"/>
  <c r="L190" i="2" s="1"/>
  <c r="J191" i="2"/>
  <c r="K191" i="2" s="1"/>
  <c r="L191" i="2" s="1"/>
  <c r="J192" i="2"/>
  <c r="K192" i="2" s="1"/>
  <c r="L192" i="2" s="1"/>
  <c r="J193" i="2"/>
  <c r="K193" i="2" s="1"/>
  <c r="L193" i="2" s="1"/>
  <c r="J194" i="2"/>
  <c r="K194" i="2" s="1"/>
  <c r="L194" i="2" s="1"/>
  <c r="J195" i="2"/>
  <c r="K195" i="2" s="1"/>
  <c r="L195" i="2" s="1"/>
  <c r="J196" i="2"/>
  <c r="K196" i="2" s="1"/>
  <c r="L196" i="2" s="1"/>
  <c r="J197" i="2"/>
  <c r="J198" i="2"/>
  <c r="J199" i="2"/>
  <c r="K199" i="2" s="1"/>
  <c r="L199" i="2" s="1"/>
  <c r="J200" i="2"/>
  <c r="K200" i="2" s="1"/>
  <c r="L200" i="2" s="1"/>
  <c r="J201" i="2"/>
  <c r="K201" i="2" s="1"/>
  <c r="L201" i="2" s="1"/>
  <c r="J202" i="2"/>
  <c r="K202" i="2" s="1"/>
  <c r="L202" i="2" s="1"/>
  <c r="J203" i="2"/>
  <c r="K203" i="2" s="1"/>
  <c r="L203" i="2" s="1"/>
  <c r="J204" i="2"/>
  <c r="K204" i="2" s="1"/>
  <c r="L204" i="2" s="1"/>
  <c r="J205" i="2"/>
  <c r="J206" i="2"/>
  <c r="J207" i="2"/>
  <c r="K207" i="2" s="1"/>
  <c r="L207" i="2" s="1"/>
  <c r="J208" i="2"/>
  <c r="K208" i="2" s="1"/>
  <c r="L208" i="2" s="1"/>
  <c r="J209" i="2"/>
  <c r="K209" i="2" s="1"/>
  <c r="L209" i="2" s="1"/>
  <c r="J210" i="2"/>
  <c r="K210" i="2" s="1"/>
  <c r="L210" i="2" s="1"/>
  <c r="J211" i="2"/>
  <c r="K211" i="2" s="1"/>
  <c r="L211" i="2" s="1"/>
  <c r="J212" i="2"/>
  <c r="K212" i="2" s="1"/>
  <c r="L212" i="2" s="1"/>
  <c r="J213" i="2"/>
  <c r="K213" i="2" s="1"/>
  <c r="L213" i="2" s="1"/>
  <c r="J214" i="2"/>
  <c r="K214" i="2" s="1"/>
  <c r="L214" i="2" s="1"/>
  <c r="J215" i="2"/>
  <c r="K215" i="2" s="1"/>
  <c r="L215" i="2" s="1"/>
  <c r="J216" i="2"/>
  <c r="K216" i="2" s="1"/>
  <c r="L216" i="2" s="1"/>
  <c r="J217" i="2"/>
  <c r="J218" i="2"/>
  <c r="J219" i="2"/>
  <c r="K219" i="2" s="1"/>
  <c r="L219" i="2" s="1"/>
  <c r="J220" i="2"/>
  <c r="K220" i="2" s="1"/>
  <c r="L220" i="2" s="1"/>
  <c r="J221" i="2"/>
  <c r="K221" i="2" s="1"/>
  <c r="L221" i="2" s="1"/>
  <c r="J222" i="2"/>
  <c r="K222" i="2" s="1"/>
  <c r="L222" i="2" s="1"/>
  <c r="J223" i="2"/>
  <c r="K223" i="2" s="1"/>
  <c r="L223" i="2" s="1"/>
  <c r="J224" i="2"/>
  <c r="K224" i="2" s="1"/>
  <c r="L224" i="2" s="1"/>
  <c r="J225" i="2"/>
  <c r="J226" i="2"/>
  <c r="J227" i="2"/>
  <c r="K227" i="2" s="1"/>
  <c r="L227" i="2" s="1"/>
  <c r="J228" i="2"/>
  <c r="K228" i="2" s="1"/>
  <c r="L228" i="2" s="1"/>
  <c r="J229" i="2"/>
  <c r="K229" i="2" s="1"/>
  <c r="L229" i="2" s="1"/>
  <c r="J230" i="2"/>
  <c r="K230" i="2" s="1"/>
  <c r="L230" i="2" s="1"/>
  <c r="J231" i="2"/>
  <c r="K231" i="2" s="1"/>
  <c r="L231" i="2" s="1"/>
  <c r="J232" i="2"/>
  <c r="K232" i="2" s="1"/>
  <c r="L232" i="2" s="1"/>
  <c r="J233" i="2"/>
  <c r="K233" i="2" s="1"/>
  <c r="L233" i="2" s="1"/>
  <c r="J234" i="2"/>
  <c r="K234" i="2" s="1"/>
  <c r="L234" i="2" s="1"/>
  <c r="J235" i="2"/>
  <c r="K235" i="2" s="1"/>
  <c r="L235" i="2" s="1"/>
  <c r="J236" i="2"/>
  <c r="K236" i="2" s="1"/>
  <c r="L236" i="2" s="1"/>
  <c r="J237" i="2"/>
  <c r="J238" i="2"/>
  <c r="J239" i="2"/>
  <c r="K239" i="2" s="1"/>
  <c r="L239" i="2" s="1"/>
  <c r="J240" i="2"/>
  <c r="K240" i="2" s="1"/>
  <c r="L240" i="2" s="1"/>
  <c r="J241" i="2"/>
  <c r="K241" i="2" s="1"/>
  <c r="L241" i="2" s="1"/>
  <c r="J242" i="2"/>
  <c r="K242" i="2" s="1"/>
  <c r="L242" i="2" s="1"/>
  <c r="J243" i="2"/>
  <c r="K243" i="2" s="1"/>
  <c r="L243" i="2" s="1"/>
  <c r="J244" i="2"/>
  <c r="K244" i="2" s="1"/>
  <c r="L244" i="2" s="1"/>
  <c r="L246" i="2" l="1"/>
  <c r="L247" i="2" s="1"/>
  <c r="L249" i="2" s="1"/>
</calcChain>
</file>

<file path=xl/sharedStrings.xml><?xml version="1.0" encoding="utf-8"?>
<sst xmlns="http://schemas.openxmlformats.org/spreadsheetml/2006/main" count="1069" uniqueCount="69">
  <si>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</si>
  <si>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</si>
  <si>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</si>
  <si>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</si>
  <si>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</si>
  <si>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</si>
  <si>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</si>
  <si>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</si>
  <si>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</si>
  <si>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</si>
  <si>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</si>
  <si>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</si>
  <si>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</si>
  <si>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</si>
  <si>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</si>
  <si>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</si>
  <si>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</si>
  <si>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</si>
  <si>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</si>
  <si>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</si>
  <si>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</si>
  <si>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</si>
  <si>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</si>
  <si>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</si>
  <si>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</si>
  <si>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</si>
  <si>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fri</t>
  </si>
  <si>
    <t>sun</t>
  </si>
  <si>
    <t>thur</t>
  </si>
  <si>
    <t>smoker 1/non-Smoker 0</t>
  </si>
  <si>
    <t>male 1/female 0</t>
  </si>
  <si>
    <t>dinner 1/lunch 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</si>
  <si>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</si>
  <si>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</si>
  <si>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</si>
  <si>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</si>
  <si>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</si>
  <si>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</si>
  <si>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</si>
  <si>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</si>
  <si>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</si>
  <si>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</si>
  <si>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</si>
  <si>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</si>
  <si>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</si>
  <si>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</si>
  <si>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</si>
  <si>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</si>
  <si>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</si>
  <si>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</si>
  <si>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</si>
  <si>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</si>
  <si>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</si>
  <si>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</si>
  <si>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</si>
  <si>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</si>
  <si>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 Square error</t>
  </si>
  <si>
    <t>RMSE</t>
  </si>
  <si>
    <t>Average tip</t>
  </si>
  <si>
    <t>Percentage of error</t>
  </si>
  <si>
    <t>Male 1/Female 0</t>
  </si>
  <si>
    <t>Smoker 1/Non-Smoker 0</t>
  </si>
  <si>
    <t>Dinner 1/Lunch 0</t>
  </si>
  <si>
    <t>Size</t>
  </si>
  <si>
    <t>Tota_Bill</t>
  </si>
  <si>
    <t>Tip</t>
  </si>
  <si>
    <t>Predicted Tip</t>
  </si>
  <si>
    <t>Error</t>
  </si>
  <si>
    <t>Square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</si>
</sst>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0" fillId="2" borderId="0" xfId="0" applyFill="1"/>
    <xf numFmtId="0" fontId="0" fillId="2" borderId="2" xfId="0" applyFill="1" applyBorder="1"/>
    <xf numFmtId="0" fontId="4" fillId="2" borderId="0" xfId="0" applyFont="1" applyFill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9" fontId="0" fillId="3" borderId="1" xfId="1" applyFont="1" applyFill="1" applyBorder="1"/>
    <xf numFmtId="166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1482090</xdr:colOff>
      <xdr:row>9</xdr:row>
      <xdr:rowOff>123824</xdr:rowOff>
    </xdr:from>
    <xdr:to>
      <xdr:col>15</xdr:col>
      <xdr:colOff>2266950</xdr:colOff>
      <xdr:row>23</xdr:row>
      <xdr:rowOff>20954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00427F-AB32-91FC-D811-F469D455CE57}"/>
            </a:ext>
          </a:extLst>
        </xdr:cNvPr>
        <xdr:cNvSpPr txBox="1"/>
      </xdr:nvSpPr>
      <xdr:spPr>
        <a:xfrm>
          <a:off x="13559790" y="1762124"/>
          <a:ext cx="4661535" cy="2430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The</a:t>
          </a:r>
          <a:r>
            <a:rPr lang="en-IN" sz="1100" baseline="0"/>
            <a:t> aim of the project is to predict restaurant tips given input values with the mathematical equation for predicting the value of the tips.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/>
            <a:t>Sex, smoker, day, time columns are being converted to numerical code of 0 and 1 using One Hot Encoding.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/>
            <a:t>Using the available fields in the dataset to calculate the Linear Regression and display the summary output.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With</a:t>
          </a:r>
          <a:r>
            <a:rPr lang="en-IN" sz="1100" baseline="0"/>
            <a:t> the coefficients from the output, the predicted tip is being calculated followed by the error between the actual tip and predicted tip and the square of error.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/>
            <a:t>Finally the Mean Squared Error, the RMSE and the percentage of error are solved using the calculated fields.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sheetPr codeName="Sheet1"/>
  <dimension ref="A1:K245"/>
  <sheetViews>
    <sheetView workbookViewId="0"/>
  </sheetViews>
  <sheetFormatPr defaultColWidth="13.44140625" defaultRowHeight="14.4" x14ac:dyDescent="0.3"/>
  <cols>
    <col min="11" max="11" width="46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13</v>
      </c>
      <c r="G204">
        <v>2</v>
      </c>
    </row>
    <row r="205" spans="1:7" x14ac:dyDescent="0.3">
      <c r="A205" t="s">
        <v>7</v>
      </c>
      <c r="B205" t="s">
        <v>22</v>
      </c>
      <c r="C205" t="s">
        <v>23</v>
      </c>
      <c r="D205" t="s">
        <v>24</v>
      </c>
      <c r="E205">
        <v>2</v>
      </c>
      <c r="F205">
        <v>16.399999999999999</v>
      </c>
      <c r="G205">
        <v>2.5</v>
      </c>
    </row>
    <row r="206" spans="1:7" x14ac:dyDescent="0.3">
      <c r="A206" t="s">
        <v>11</v>
      </c>
      <c r="B206" t="s">
        <v>22</v>
      </c>
      <c r="C206" t="s">
        <v>23</v>
      </c>
      <c r="D206" t="s">
        <v>24</v>
      </c>
      <c r="E206">
        <v>4</v>
      </c>
      <c r="F206">
        <v>20.53</v>
      </c>
      <c r="G206">
        <v>4</v>
      </c>
    </row>
    <row r="207" spans="1:7" x14ac:dyDescent="0.3">
      <c r="A207" t="s">
        <v>7</v>
      </c>
      <c r="B207" t="s">
        <v>22</v>
      </c>
      <c r="C207" t="s">
        <v>23</v>
      </c>
      <c r="D207" t="s">
        <v>24</v>
      </c>
      <c r="E207">
        <v>3</v>
      </c>
      <c r="F207">
        <v>16.47</v>
      </c>
      <c r="G207">
        <v>3.23</v>
      </c>
    </row>
    <row r="208" spans="1:7" x14ac:dyDescent="0.3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26.59</v>
      </c>
      <c r="G208">
        <v>3.41</v>
      </c>
    </row>
    <row r="209" spans="1:7" x14ac:dyDescent="0.3">
      <c r="A209" t="s">
        <v>11</v>
      </c>
      <c r="B209" t="s">
        <v>22</v>
      </c>
      <c r="C209" t="s">
        <v>21</v>
      </c>
      <c r="D209" t="s">
        <v>10</v>
      </c>
      <c r="E209">
        <v>4</v>
      </c>
      <c r="F209">
        <v>38.729999999999997</v>
      </c>
      <c r="G209">
        <v>3</v>
      </c>
    </row>
    <row r="210" spans="1:7" x14ac:dyDescent="0.3">
      <c r="A210" t="s">
        <v>11</v>
      </c>
      <c r="B210" t="s">
        <v>22</v>
      </c>
      <c r="C210" t="s">
        <v>21</v>
      </c>
      <c r="D210" t="s">
        <v>10</v>
      </c>
      <c r="E210">
        <v>2</v>
      </c>
      <c r="F210">
        <v>24.27</v>
      </c>
      <c r="G210">
        <v>2.0299999999999998</v>
      </c>
    </row>
    <row r="211" spans="1:7" x14ac:dyDescent="0.3">
      <c r="A211" t="s">
        <v>7</v>
      </c>
      <c r="B211" t="s">
        <v>22</v>
      </c>
      <c r="C211" t="s">
        <v>21</v>
      </c>
      <c r="D211" t="s">
        <v>10</v>
      </c>
      <c r="E211">
        <v>2</v>
      </c>
      <c r="F211">
        <v>12.76</v>
      </c>
      <c r="G211">
        <v>2.23</v>
      </c>
    </row>
    <row r="212" spans="1:7" x14ac:dyDescent="0.3">
      <c r="A212" t="s">
        <v>11</v>
      </c>
      <c r="B212" t="s">
        <v>22</v>
      </c>
      <c r="C212" t="s">
        <v>21</v>
      </c>
      <c r="D212" t="s">
        <v>10</v>
      </c>
      <c r="E212">
        <v>3</v>
      </c>
      <c r="F212">
        <v>30.06</v>
      </c>
      <c r="G212">
        <v>2</v>
      </c>
    </row>
    <row r="213" spans="1:7" x14ac:dyDescent="0.3">
      <c r="A213" t="s">
        <v>11</v>
      </c>
      <c r="B213" t="s">
        <v>22</v>
      </c>
      <c r="C213" t="s">
        <v>21</v>
      </c>
      <c r="D213" t="s">
        <v>10</v>
      </c>
      <c r="E213">
        <v>4</v>
      </c>
      <c r="F213">
        <v>25.89</v>
      </c>
      <c r="G213">
        <v>5.16</v>
      </c>
    </row>
    <row r="214" spans="1:7" x14ac:dyDescent="0.3">
      <c r="A214" t="s">
        <v>11</v>
      </c>
      <c r="B214" t="s">
        <v>8</v>
      </c>
      <c r="C214" t="s">
        <v>21</v>
      </c>
      <c r="D214" t="s">
        <v>10</v>
      </c>
      <c r="E214">
        <v>4</v>
      </c>
      <c r="F214">
        <v>48.33</v>
      </c>
      <c r="G214">
        <v>9</v>
      </c>
    </row>
    <row r="215" spans="1:7" x14ac:dyDescent="0.3">
      <c r="A215" t="s">
        <v>7</v>
      </c>
      <c r="B215" t="s">
        <v>22</v>
      </c>
      <c r="C215" t="s">
        <v>21</v>
      </c>
      <c r="D215" t="s">
        <v>10</v>
      </c>
      <c r="E215">
        <v>2</v>
      </c>
      <c r="F215">
        <v>13.27</v>
      </c>
      <c r="G215">
        <v>2.5</v>
      </c>
    </row>
    <row r="216" spans="1:7" x14ac:dyDescent="0.3">
      <c r="A216" t="s">
        <v>7</v>
      </c>
      <c r="B216" t="s">
        <v>22</v>
      </c>
      <c r="C216" t="s">
        <v>21</v>
      </c>
      <c r="D216" t="s">
        <v>10</v>
      </c>
      <c r="E216">
        <v>3</v>
      </c>
      <c r="F216">
        <v>28.17</v>
      </c>
      <c r="G216">
        <v>6.5</v>
      </c>
    </row>
    <row r="217" spans="1:7" x14ac:dyDescent="0.3">
      <c r="A217" t="s">
        <v>7</v>
      </c>
      <c r="B217" t="s">
        <v>22</v>
      </c>
      <c r="C217" t="s">
        <v>21</v>
      </c>
      <c r="D217" t="s">
        <v>10</v>
      </c>
      <c r="E217">
        <v>2</v>
      </c>
      <c r="F217">
        <v>12.9</v>
      </c>
      <c r="G217">
        <v>1.1000000000000001</v>
      </c>
    </row>
    <row r="218" spans="1:7" x14ac:dyDescent="0.3">
      <c r="A218" t="s">
        <v>11</v>
      </c>
      <c r="B218" t="s">
        <v>22</v>
      </c>
      <c r="C218" t="s">
        <v>21</v>
      </c>
      <c r="D218" t="s">
        <v>10</v>
      </c>
      <c r="E218">
        <v>5</v>
      </c>
      <c r="F218">
        <v>28.15</v>
      </c>
      <c r="G218">
        <v>3</v>
      </c>
    </row>
    <row r="219" spans="1:7" x14ac:dyDescent="0.3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11.59</v>
      </c>
      <c r="G219">
        <v>1.5</v>
      </c>
    </row>
    <row r="220" spans="1:7" x14ac:dyDescent="0.3">
      <c r="A220" t="s">
        <v>11</v>
      </c>
      <c r="B220" t="s">
        <v>22</v>
      </c>
      <c r="C220" t="s">
        <v>21</v>
      </c>
      <c r="D220" t="s">
        <v>10</v>
      </c>
      <c r="E220">
        <v>2</v>
      </c>
      <c r="F220">
        <v>7.74</v>
      </c>
      <c r="G220">
        <v>1.44</v>
      </c>
    </row>
    <row r="221" spans="1:7" x14ac:dyDescent="0.3">
      <c r="A221" t="s">
        <v>7</v>
      </c>
      <c r="B221" t="s">
        <v>22</v>
      </c>
      <c r="C221" t="s">
        <v>21</v>
      </c>
      <c r="D221" t="s">
        <v>10</v>
      </c>
      <c r="E221">
        <v>4</v>
      </c>
      <c r="F221">
        <v>30.14</v>
      </c>
      <c r="G221">
        <v>3.09</v>
      </c>
    </row>
    <row r="222" spans="1:7" x14ac:dyDescent="0.3">
      <c r="A222" t="s">
        <v>11</v>
      </c>
      <c r="B222" t="s">
        <v>22</v>
      </c>
      <c r="C222" t="s">
        <v>25</v>
      </c>
      <c r="D222" t="s">
        <v>24</v>
      </c>
      <c r="E222">
        <v>2</v>
      </c>
      <c r="F222">
        <v>12.16</v>
      </c>
      <c r="G222">
        <v>2.2000000000000002</v>
      </c>
    </row>
    <row r="223" spans="1:7" x14ac:dyDescent="0.3">
      <c r="A223" t="s">
        <v>7</v>
      </c>
      <c r="B223" t="s">
        <v>22</v>
      </c>
      <c r="C223" t="s">
        <v>25</v>
      </c>
      <c r="D223" t="s">
        <v>24</v>
      </c>
      <c r="E223">
        <v>2</v>
      </c>
      <c r="F223">
        <v>13.42</v>
      </c>
      <c r="G223">
        <v>3.48</v>
      </c>
    </row>
    <row r="224" spans="1:7" x14ac:dyDescent="0.3">
      <c r="A224" t="s">
        <v>11</v>
      </c>
      <c r="B224" t="s">
        <v>22</v>
      </c>
      <c r="C224" t="s">
        <v>25</v>
      </c>
      <c r="D224" t="s">
        <v>24</v>
      </c>
      <c r="E224">
        <v>1</v>
      </c>
      <c r="F224">
        <v>8.58</v>
      </c>
      <c r="G224">
        <v>1.92</v>
      </c>
    </row>
    <row r="225" spans="1:7" x14ac:dyDescent="0.3">
      <c r="A225" t="s">
        <v>7</v>
      </c>
      <c r="B225" t="s">
        <v>8</v>
      </c>
      <c r="C225" t="s">
        <v>25</v>
      </c>
      <c r="D225" t="s">
        <v>24</v>
      </c>
      <c r="E225">
        <v>3</v>
      </c>
      <c r="F225">
        <v>15.98</v>
      </c>
      <c r="G225">
        <v>3</v>
      </c>
    </row>
    <row r="226" spans="1:7" x14ac:dyDescent="0.3">
      <c r="A226" t="s">
        <v>11</v>
      </c>
      <c r="B226" t="s">
        <v>22</v>
      </c>
      <c r="C226" t="s">
        <v>25</v>
      </c>
      <c r="D226" t="s">
        <v>24</v>
      </c>
      <c r="E226">
        <v>2</v>
      </c>
      <c r="F226">
        <v>13.42</v>
      </c>
      <c r="G226">
        <v>1.58</v>
      </c>
    </row>
    <row r="227" spans="1:7" x14ac:dyDescent="0.3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16.27</v>
      </c>
      <c r="G227">
        <v>2.5</v>
      </c>
    </row>
    <row r="228" spans="1:7" x14ac:dyDescent="0.3">
      <c r="A228" t="s">
        <v>7</v>
      </c>
      <c r="B228" t="s">
        <v>22</v>
      </c>
      <c r="C228" t="s">
        <v>25</v>
      </c>
      <c r="D228" t="s">
        <v>24</v>
      </c>
      <c r="E228">
        <v>2</v>
      </c>
      <c r="F228">
        <v>10.09</v>
      </c>
      <c r="G228">
        <v>2</v>
      </c>
    </row>
    <row r="229" spans="1:7" x14ac:dyDescent="0.3">
      <c r="A229" t="s">
        <v>11</v>
      </c>
      <c r="B229" t="s">
        <v>8</v>
      </c>
      <c r="C229" t="s">
        <v>21</v>
      </c>
      <c r="D229" t="s">
        <v>10</v>
      </c>
      <c r="E229">
        <v>4</v>
      </c>
      <c r="F229">
        <v>20.45</v>
      </c>
      <c r="G229">
        <v>3</v>
      </c>
    </row>
    <row r="230" spans="1:7" x14ac:dyDescent="0.3">
      <c r="A230" t="s">
        <v>11</v>
      </c>
      <c r="B230" t="s">
        <v>8</v>
      </c>
      <c r="C230" t="s">
        <v>21</v>
      </c>
      <c r="D230" t="s">
        <v>10</v>
      </c>
      <c r="E230">
        <v>2</v>
      </c>
      <c r="F230">
        <v>13.28</v>
      </c>
      <c r="G230">
        <v>2.72</v>
      </c>
    </row>
    <row r="231" spans="1:7" x14ac:dyDescent="0.3">
      <c r="A231" t="s">
        <v>7</v>
      </c>
      <c r="B231" t="s">
        <v>22</v>
      </c>
      <c r="C231" t="s">
        <v>21</v>
      </c>
      <c r="D231" t="s">
        <v>10</v>
      </c>
      <c r="E231">
        <v>2</v>
      </c>
      <c r="F231">
        <v>22.12</v>
      </c>
      <c r="G231">
        <v>2.88</v>
      </c>
    </row>
    <row r="232" spans="1:7" x14ac:dyDescent="0.3">
      <c r="A232" t="s">
        <v>11</v>
      </c>
      <c r="B232" t="s">
        <v>22</v>
      </c>
      <c r="C232" t="s">
        <v>21</v>
      </c>
      <c r="D232" t="s">
        <v>10</v>
      </c>
      <c r="E232">
        <v>4</v>
      </c>
      <c r="F232">
        <v>24.01</v>
      </c>
      <c r="G232">
        <v>2</v>
      </c>
    </row>
    <row r="233" spans="1:7" x14ac:dyDescent="0.3">
      <c r="A233" t="s">
        <v>11</v>
      </c>
      <c r="B233" t="s">
        <v>22</v>
      </c>
      <c r="C233" t="s">
        <v>21</v>
      </c>
      <c r="D233" t="s">
        <v>10</v>
      </c>
      <c r="E233">
        <v>3</v>
      </c>
      <c r="F233">
        <v>15.69</v>
      </c>
      <c r="G233">
        <v>3</v>
      </c>
    </row>
    <row r="234" spans="1:7" x14ac:dyDescent="0.3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11.61</v>
      </c>
      <c r="G234">
        <v>3.39</v>
      </c>
    </row>
    <row r="235" spans="1:7" x14ac:dyDescent="0.3">
      <c r="A235" t="s">
        <v>11</v>
      </c>
      <c r="B235" t="s">
        <v>8</v>
      </c>
      <c r="C235" t="s">
        <v>21</v>
      </c>
      <c r="D235" t="s">
        <v>10</v>
      </c>
      <c r="E235">
        <v>2</v>
      </c>
      <c r="F235">
        <v>10.77</v>
      </c>
      <c r="G235">
        <v>1.47</v>
      </c>
    </row>
    <row r="236" spans="1:7" x14ac:dyDescent="0.3">
      <c r="A236" t="s">
        <v>11</v>
      </c>
      <c r="B236" t="s">
        <v>22</v>
      </c>
      <c r="C236" t="s">
        <v>21</v>
      </c>
      <c r="D236" t="s">
        <v>10</v>
      </c>
      <c r="E236">
        <v>2</v>
      </c>
      <c r="F236">
        <v>15.53</v>
      </c>
      <c r="G236">
        <v>3</v>
      </c>
    </row>
    <row r="237" spans="1:7" x14ac:dyDescent="0.3">
      <c r="A237" t="s">
        <v>11</v>
      </c>
      <c r="B237" t="s">
        <v>8</v>
      </c>
      <c r="C237" t="s">
        <v>21</v>
      </c>
      <c r="D237" t="s">
        <v>10</v>
      </c>
      <c r="E237">
        <v>2</v>
      </c>
      <c r="F237">
        <v>10.07</v>
      </c>
      <c r="G237">
        <v>1.25</v>
      </c>
    </row>
    <row r="238" spans="1:7" x14ac:dyDescent="0.3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12.6</v>
      </c>
      <c r="G238">
        <v>1</v>
      </c>
    </row>
    <row r="239" spans="1:7" x14ac:dyDescent="0.3">
      <c r="A239" t="s">
        <v>11</v>
      </c>
      <c r="B239" t="s">
        <v>22</v>
      </c>
      <c r="C239" t="s">
        <v>21</v>
      </c>
      <c r="D239" t="s">
        <v>10</v>
      </c>
      <c r="E239">
        <v>2</v>
      </c>
      <c r="F239">
        <v>32.83</v>
      </c>
      <c r="G239">
        <v>1.17</v>
      </c>
    </row>
    <row r="240" spans="1:7" x14ac:dyDescent="0.3">
      <c r="A240" t="s">
        <v>7</v>
      </c>
      <c r="B240" t="s">
        <v>8</v>
      </c>
      <c r="C240" t="s">
        <v>21</v>
      </c>
      <c r="D240" t="s">
        <v>10</v>
      </c>
      <c r="E240">
        <v>3</v>
      </c>
      <c r="F240">
        <v>35.83</v>
      </c>
      <c r="G240">
        <v>4.67</v>
      </c>
    </row>
    <row r="241" spans="1:7" x14ac:dyDescent="0.3">
      <c r="A241" t="s">
        <v>11</v>
      </c>
      <c r="B241" t="s">
        <v>8</v>
      </c>
      <c r="C241" t="s">
        <v>21</v>
      </c>
      <c r="D241" t="s">
        <v>10</v>
      </c>
      <c r="E241">
        <v>3</v>
      </c>
      <c r="F241">
        <v>29.03</v>
      </c>
      <c r="G241">
        <v>5.92</v>
      </c>
    </row>
    <row r="242" spans="1:7" x14ac:dyDescent="0.3">
      <c r="A242" t="s">
        <v>7</v>
      </c>
      <c r="B242" t="s">
        <v>22</v>
      </c>
      <c r="C242" t="s">
        <v>21</v>
      </c>
      <c r="D242" t="s">
        <v>10</v>
      </c>
      <c r="E242">
        <v>2</v>
      </c>
      <c r="F242">
        <v>27.18</v>
      </c>
      <c r="G242">
        <v>2</v>
      </c>
    </row>
    <row r="243" spans="1:7" x14ac:dyDescent="0.3">
      <c r="A243" t="s">
        <v>11</v>
      </c>
      <c r="B243" t="s">
        <v>22</v>
      </c>
      <c r="C243" t="s">
        <v>21</v>
      </c>
      <c r="D243" t="s">
        <v>10</v>
      </c>
      <c r="E243">
        <v>2</v>
      </c>
      <c r="F243">
        <v>22.67</v>
      </c>
      <c r="G243">
        <v>2</v>
      </c>
    </row>
    <row r="244" spans="1:7" x14ac:dyDescent="0.3">
      <c r="A244" t="s">
        <v>11</v>
      </c>
      <c r="B244" t="s">
        <v>8</v>
      </c>
      <c r="C244" t="s">
        <v>21</v>
      </c>
      <c r="D244" t="s">
        <v>10</v>
      </c>
      <c r="E244">
        <v>2</v>
      </c>
      <c r="F244">
        <v>17.82</v>
      </c>
      <c r="G244">
        <v>1.75</v>
      </c>
    </row>
    <row r="245" spans="1:7" x14ac:dyDescent="0.3">
      <c r="A245" t="s">
        <v>7</v>
      </c>
      <c r="B245" t="s">
        <v>8</v>
      </c>
      <c r="C245" t="s">
        <v>23</v>
      </c>
      <c r="D245" t="s">
        <v>10</v>
      </c>
      <c r="E245">
        <v>2</v>
      </c>
      <c r="F245">
        <v>18.78</v>
      </c>
      <c r="G2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9DE0-C802-4F77-A759-84824EC2CC5B}">
  <sheetPr codeName="Sheet2"/>
  <dimension ref="A1:V249"/>
  <sheetViews>
    <sheetView showGridLines="0" tabSelected="1" zoomScale="85" zoomScaleNormal="85" workbookViewId="0">
      <selection activeCell="Q19" sqref="Q19"/>
    </sheetView>
  </sheetViews>
  <sheetFormatPr defaultColWidth="13.44140625" defaultRowHeight="14.4" x14ac:dyDescent="0.3"/>
  <cols>
    <col min="1" max="1" width="15.109375" bestFit="1" customWidth="1"/>
    <col min="2" max="2" width="21.88671875" bestFit="1" customWidth="1"/>
    <col min="3" max="3" width="10.6640625" customWidth="1"/>
    <col min="6" max="6" width="15.109375" bestFit="1" customWidth="1"/>
    <col min="11" max="11" width="17.88671875" bestFit="1" customWidth="1"/>
    <col min="12" max="12" width="14.44140625" customWidth="1"/>
    <col min="13" max="13" width="21.88671875" bestFit="1" customWidth="1"/>
    <col min="14" max="14" width="21.88671875" customWidth="1"/>
    <col min="15" max="15" width="12.6640625" bestFit="1" customWidth="1"/>
    <col min="16" max="16" width="43.88671875" bestFit="1" customWidth="1"/>
    <col min="17" max="17" width="12.6640625" bestFit="1" customWidth="1"/>
    <col min="18" max="18" width="12" bestFit="1" customWidth="1"/>
    <col min="19" max="19" width="13" bestFit="1" customWidth="1"/>
    <col min="20" max="20" width="12" bestFit="1" customWidth="1"/>
    <col min="21" max="21" width="12.6640625" bestFit="1" customWidth="1"/>
    <col min="22" max="22" width="12.21875" bestFit="1" customWidth="1"/>
  </cols>
  <sheetData>
    <row r="1" spans="1:16" x14ac:dyDescent="0.3">
      <c r="A1" s="9" t="s">
        <v>60</v>
      </c>
      <c r="B1" s="9" t="s">
        <v>61</v>
      </c>
      <c r="C1" s="9" t="s">
        <v>9</v>
      </c>
      <c r="D1" s="9" t="s">
        <v>23</v>
      </c>
      <c r="E1" s="9" t="s">
        <v>25</v>
      </c>
      <c r="F1" s="9" t="s">
        <v>62</v>
      </c>
      <c r="G1" s="9" t="s">
        <v>63</v>
      </c>
      <c r="H1" s="9" t="s">
        <v>64</v>
      </c>
      <c r="I1" s="9" t="s">
        <v>65</v>
      </c>
      <c r="J1" s="9" t="s">
        <v>66</v>
      </c>
      <c r="K1" s="9" t="s">
        <v>67</v>
      </c>
      <c r="L1" s="9" t="s">
        <v>68</v>
      </c>
      <c r="M1" s="8" t="s">
        <v>43</v>
      </c>
      <c r="N1" s="8">
        <v>0.75108101488023737</v>
      </c>
    </row>
    <row r="2" spans="1:16" x14ac:dyDescent="0.3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1</v>
      </c>
      <c r="G2" s="1">
        <v>2</v>
      </c>
      <c r="H2" s="13">
        <v>16.989999999999998</v>
      </c>
      <c r="I2" s="13">
        <v>1.01</v>
      </c>
      <c r="J2" s="10">
        <f>A2*$N$2+B2*$N$3+C2*$N$4+D2*$N$5+E2*$N$6+F2*$N$7+G2*$N$8+H2*$N$9+$N$1</f>
        <v>2.7364916373525201</v>
      </c>
      <c r="K2" s="10">
        <f>I2-J2</f>
        <v>-1.7264916373525201</v>
      </c>
      <c r="L2" s="10">
        <f>K2^2</f>
        <v>2.9807733738481859</v>
      </c>
      <c r="M2" s="6" t="s">
        <v>30</v>
      </c>
      <c r="N2" s="6">
        <v>-3.4292520362901729E-2</v>
      </c>
    </row>
    <row r="3" spans="1:16" x14ac:dyDescent="0.3">
      <c r="A3" s="1">
        <v>1</v>
      </c>
      <c r="B3" s="1">
        <v>0</v>
      </c>
      <c r="C3" s="1">
        <v>1</v>
      </c>
      <c r="D3" s="1">
        <v>0</v>
      </c>
      <c r="E3" s="1">
        <v>0</v>
      </c>
      <c r="F3" s="1">
        <v>1</v>
      </c>
      <c r="G3" s="1">
        <v>3</v>
      </c>
      <c r="H3" s="13">
        <v>10.34</v>
      </c>
      <c r="I3" s="13">
        <v>1.66</v>
      </c>
      <c r="J3" s="10">
        <f t="shared" ref="J3:J66" si="0">A3*$N$2+B3*$N$3+C3*$N$4+D3*$N$5+E3*$N$6+F3*$N$7+G3*$N$8+H3*$N$9+$N$1</f>
        <v>2.2503963296518839</v>
      </c>
      <c r="K3" s="10">
        <f t="shared" ref="K3:K66" si="1">I3-J3</f>
        <v>-0.59039632965188393</v>
      </c>
      <c r="L3" s="10">
        <f t="shared" ref="L3:L66" si="2">K3^2</f>
        <v>0.34856782606641601</v>
      </c>
      <c r="M3" s="6" t="s">
        <v>29</v>
      </c>
      <c r="N3" s="6">
        <v>-8.3248125793157893E-2</v>
      </c>
      <c r="O3" s="1" t="s">
        <v>12</v>
      </c>
      <c r="P3" s="1" t="s">
        <v>13</v>
      </c>
    </row>
    <row r="4" spans="1:16" x14ac:dyDescent="0.3">
      <c r="A4" s="1">
        <v>1</v>
      </c>
      <c r="B4" s="1">
        <v>0</v>
      </c>
      <c r="C4" s="1">
        <v>1</v>
      </c>
      <c r="D4" s="1">
        <v>0</v>
      </c>
      <c r="E4" s="1">
        <v>0</v>
      </c>
      <c r="F4" s="1">
        <v>1</v>
      </c>
      <c r="G4" s="1">
        <v>3</v>
      </c>
      <c r="H4" s="13">
        <v>21.01</v>
      </c>
      <c r="I4" s="13">
        <v>3.5</v>
      </c>
      <c r="J4" s="10">
        <f t="shared" si="0"/>
        <v>3.2578573950856455</v>
      </c>
      <c r="K4" s="10">
        <f t="shared" si="1"/>
        <v>0.24214260491435446</v>
      </c>
      <c r="L4" s="10">
        <f t="shared" si="2"/>
        <v>5.8633041114709156E-2</v>
      </c>
      <c r="M4" s="6" t="s">
        <v>27</v>
      </c>
      <c r="N4" s="6">
        <v>9.6903754440534381E-2</v>
      </c>
      <c r="O4" s="1" t="s">
        <v>1</v>
      </c>
      <c r="P4" s="1" t="s">
        <v>14</v>
      </c>
    </row>
    <row r="5" spans="1:16" x14ac:dyDescent="0.3">
      <c r="A5" s="1">
        <v>1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2</v>
      </c>
      <c r="H5" s="13">
        <v>23.68</v>
      </c>
      <c r="I5" s="13">
        <v>3.31</v>
      </c>
      <c r="J5" s="10">
        <f t="shared" si="0"/>
        <v>3.3338687072194091</v>
      </c>
      <c r="K5" s="10">
        <f t="shared" si="1"/>
        <v>-2.3868707219409036E-2</v>
      </c>
      <c r="L5" s="10">
        <f t="shared" si="2"/>
        <v>5.6971518432586906E-4</v>
      </c>
      <c r="M5" s="6" t="s">
        <v>28</v>
      </c>
      <c r="N5" s="6">
        <v>-3.7029723440494704E-2</v>
      </c>
      <c r="O5" s="1" t="s">
        <v>2</v>
      </c>
      <c r="P5" s="1" t="s">
        <v>15</v>
      </c>
    </row>
    <row r="6" spans="1:16" x14ac:dyDescent="0.3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1</v>
      </c>
      <c r="G6" s="1">
        <v>4</v>
      </c>
      <c r="H6" s="13">
        <v>24.59</v>
      </c>
      <c r="I6" s="13">
        <v>3.61</v>
      </c>
      <c r="J6" s="10">
        <f t="shared" si="0"/>
        <v>3.8062634073411203</v>
      </c>
      <c r="K6" s="10">
        <f t="shared" si="1"/>
        <v>-0.19626340734112047</v>
      </c>
      <c r="L6" s="10">
        <f t="shared" si="2"/>
        <v>3.8519325061146581E-2</v>
      </c>
      <c r="M6" s="6" t="s">
        <v>26</v>
      </c>
      <c r="N6" s="6">
        <v>0.12012363949927385</v>
      </c>
      <c r="O6" s="1" t="s">
        <v>3</v>
      </c>
      <c r="P6" s="1" t="s">
        <v>16</v>
      </c>
    </row>
    <row r="7" spans="1:16" x14ac:dyDescent="0.3">
      <c r="A7" s="1">
        <v>1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v>4</v>
      </c>
      <c r="H7" s="13">
        <v>25.29</v>
      </c>
      <c r="I7" s="13">
        <v>4.71</v>
      </c>
      <c r="J7" s="10">
        <f t="shared" si="0"/>
        <v>3.8380648650291675</v>
      </c>
      <c r="K7" s="10">
        <f t="shared" si="1"/>
        <v>0.87193513497083242</v>
      </c>
      <c r="L7" s="10">
        <f t="shared" si="2"/>
        <v>0.76027087959660378</v>
      </c>
      <c r="M7" s="6" t="s">
        <v>31</v>
      </c>
      <c r="N7" s="6">
        <v>-6.7868407526018873E-2</v>
      </c>
      <c r="O7" s="1" t="s">
        <v>4</v>
      </c>
      <c r="P7" s="1" t="s">
        <v>17</v>
      </c>
    </row>
    <row r="8" spans="1:16" x14ac:dyDescent="0.3">
      <c r="A8" s="1">
        <v>1</v>
      </c>
      <c r="B8" s="1">
        <v>0</v>
      </c>
      <c r="C8" s="1">
        <v>1</v>
      </c>
      <c r="D8" s="1">
        <v>0</v>
      </c>
      <c r="E8" s="1">
        <v>0</v>
      </c>
      <c r="F8" s="1">
        <v>1</v>
      </c>
      <c r="G8" s="1">
        <v>2</v>
      </c>
      <c r="H8" s="13">
        <v>8.77</v>
      </c>
      <c r="I8" s="13">
        <v>2</v>
      </c>
      <c r="J8" s="10">
        <f t="shared" si="0"/>
        <v>1.9260669747341808</v>
      </c>
      <c r="K8" s="10">
        <f t="shared" si="1"/>
        <v>7.3933025265819241E-2</v>
      </c>
      <c r="L8" s="10">
        <f t="shared" si="2"/>
        <v>5.4660922249562659E-3</v>
      </c>
      <c r="M8" s="6" t="s">
        <v>4</v>
      </c>
      <c r="N8" s="6">
        <v>0.17609000414628706</v>
      </c>
      <c r="O8" s="1" t="s">
        <v>18</v>
      </c>
      <c r="P8" s="1" t="s">
        <v>19</v>
      </c>
    </row>
    <row r="9" spans="1:16" ht="15" thickBot="1" x14ac:dyDescent="0.35">
      <c r="A9" s="1">
        <v>1</v>
      </c>
      <c r="B9" s="1">
        <v>0</v>
      </c>
      <c r="C9" s="1">
        <v>1</v>
      </c>
      <c r="D9" s="1">
        <v>0</v>
      </c>
      <c r="E9" s="1">
        <v>0</v>
      </c>
      <c r="F9" s="1">
        <v>1</v>
      </c>
      <c r="G9" s="1">
        <v>4</v>
      </c>
      <c r="H9" s="13">
        <v>26.88</v>
      </c>
      <c r="I9" s="13">
        <v>3.12</v>
      </c>
      <c r="J9" s="10">
        <f t="shared" si="0"/>
        <v>3.9881926151734675</v>
      </c>
      <c r="K9" s="10">
        <f t="shared" si="1"/>
        <v>-0.86819261517346735</v>
      </c>
      <c r="L9" s="10">
        <f t="shared" si="2"/>
        <v>0.7537584170417444</v>
      </c>
      <c r="M9" s="7" t="s">
        <v>5</v>
      </c>
      <c r="N9" s="7">
        <v>9.4419968644213856E-2</v>
      </c>
      <c r="O9" s="1" t="s">
        <v>6</v>
      </c>
      <c r="P9" s="1" t="s">
        <v>20</v>
      </c>
    </row>
    <row r="10" spans="1:16" x14ac:dyDescent="0.3">
      <c r="A10" s="1">
        <v>1</v>
      </c>
      <c r="B10" s="1">
        <v>0</v>
      </c>
      <c r="C10" s="1">
        <v>1</v>
      </c>
      <c r="D10" s="1">
        <v>0</v>
      </c>
      <c r="E10" s="1">
        <v>0</v>
      </c>
      <c r="F10" s="1">
        <v>1</v>
      </c>
      <c r="G10" s="1">
        <v>2</v>
      </c>
      <c r="H10" s="13">
        <v>15.04</v>
      </c>
      <c r="I10" s="13">
        <v>1.96</v>
      </c>
      <c r="J10" s="10">
        <f t="shared" si="0"/>
        <v>2.5180801781334017</v>
      </c>
      <c r="K10" s="10">
        <f t="shared" si="1"/>
        <v>-0.55808017813340172</v>
      </c>
      <c r="L10" s="10">
        <f t="shared" si="2"/>
        <v>0.31145348522540939</v>
      </c>
    </row>
    <row r="11" spans="1:16" x14ac:dyDescent="0.3">
      <c r="A11" s="1">
        <v>1</v>
      </c>
      <c r="B11" s="1">
        <v>0</v>
      </c>
      <c r="C11" s="1">
        <v>1</v>
      </c>
      <c r="D11" s="1">
        <v>0</v>
      </c>
      <c r="E11" s="1">
        <v>0</v>
      </c>
      <c r="F11" s="1">
        <v>1</v>
      </c>
      <c r="G11" s="1">
        <v>2</v>
      </c>
      <c r="H11" s="13">
        <v>14.78</v>
      </c>
      <c r="I11" s="13">
        <v>3.23</v>
      </c>
      <c r="J11" s="10">
        <f t="shared" si="0"/>
        <v>2.4935309862859061</v>
      </c>
      <c r="K11" s="10">
        <f t="shared" si="1"/>
        <v>0.7364690137140939</v>
      </c>
      <c r="L11" s="10">
        <f t="shared" si="2"/>
        <v>0.54238660816101025</v>
      </c>
    </row>
    <row r="12" spans="1:16" x14ac:dyDescent="0.3">
      <c r="A12" s="1">
        <v>1</v>
      </c>
      <c r="B12" s="1">
        <v>0</v>
      </c>
      <c r="C12" s="1">
        <v>1</v>
      </c>
      <c r="D12" s="1">
        <v>0</v>
      </c>
      <c r="E12" s="1">
        <v>0</v>
      </c>
      <c r="F12" s="1">
        <v>1</v>
      </c>
      <c r="G12" s="1">
        <v>2</v>
      </c>
      <c r="H12" s="13">
        <v>10.27</v>
      </c>
      <c r="I12" s="13">
        <v>1.71</v>
      </c>
      <c r="J12" s="10">
        <f t="shared" si="0"/>
        <v>2.0676969277005015</v>
      </c>
      <c r="K12" s="10">
        <f t="shared" si="1"/>
        <v>-0.35769692770050154</v>
      </c>
      <c r="L12" s="10">
        <f t="shared" si="2"/>
        <v>0.12794709208637783</v>
      </c>
    </row>
    <row r="13" spans="1:16" x14ac:dyDescent="0.3">
      <c r="A13" s="1">
        <v>0</v>
      </c>
      <c r="B13" s="1">
        <v>0</v>
      </c>
      <c r="C13" s="1">
        <v>1</v>
      </c>
      <c r="D13" s="1">
        <v>0</v>
      </c>
      <c r="E13" s="1">
        <v>0</v>
      </c>
      <c r="F13" s="1">
        <v>1</v>
      </c>
      <c r="G13" s="1">
        <v>4</v>
      </c>
      <c r="H13" s="13">
        <v>35.26</v>
      </c>
      <c r="I13" s="13">
        <v>5</v>
      </c>
      <c r="J13" s="10">
        <f t="shared" si="0"/>
        <v>4.813724472774882</v>
      </c>
      <c r="K13" s="10">
        <f t="shared" si="1"/>
        <v>0.18627552722511798</v>
      </c>
      <c r="L13" s="10">
        <f t="shared" si="2"/>
        <v>3.4698572042995666E-2</v>
      </c>
    </row>
    <row r="14" spans="1:16" x14ac:dyDescent="0.3">
      <c r="A14" s="1">
        <v>1</v>
      </c>
      <c r="B14" s="1">
        <v>0</v>
      </c>
      <c r="C14" s="1">
        <v>1</v>
      </c>
      <c r="D14" s="1">
        <v>0</v>
      </c>
      <c r="E14" s="1">
        <v>0</v>
      </c>
      <c r="F14" s="1">
        <v>1</v>
      </c>
      <c r="G14" s="1">
        <v>2</v>
      </c>
      <c r="H14" s="13">
        <v>15.42</v>
      </c>
      <c r="I14" s="13">
        <v>1.57</v>
      </c>
      <c r="J14" s="10">
        <f t="shared" si="0"/>
        <v>2.553959766218203</v>
      </c>
      <c r="K14" s="10">
        <f t="shared" si="1"/>
        <v>-0.98395976621820291</v>
      </c>
      <c r="L14" s="10">
        <f t="shared" si="2"/>
        <v>0.96817682153618057</v>
      </c>
    </row>
    <row r="15" spans="1:16" x14ac:dyDescent="0.3">
      <c r="A15" s="1">
        <v>1</v>
      </c>
      <c r="B15" s="1">
        <v>0</v>
      </c>
      <c r="C15" s="1">
        <v>1</v>
      </c>
      <c r="D15" s="1">
        <v>0</v>
      </c>
      <c r="E15" s="1">
        <v>0</v>
      </c>
      <c r="F15" s="1">
        <v>1</v>
      </c>
      <c r="G15" s="1">
        <v>4</v>
      </c>
      <c r="H15" s="13">
        <v>18.43</v>
      </c>
      <c r="I15" s="13">
        <v>3</v>
      </c>
      <c r="J15" s="10">
        <f t="shared" si="0"/>
        <v>3.1903438801298609</v>
      </c>
      <c r="K15" s="10">
        <f t="shared" si="1"/>
        <v>-0.19034388012986092</v>
      </c>
      <c r="L15" s="10">
        <f t="shared" si="2"/>
        <v>3.6230792702890861E-2</v>
      </c>
    </row>
    <row r="16" spans="1:16" x14ac:dyDescent="0.3">
      <c r="A16" s="1">
        <v>0</v>
      </c>
      <c r="B16" s="1">
        <v>0</v>
      </c>
      <c r="C16" s="1">
        <v>1</v>
      </c>
      <c r="D16" s="1">
        <v>0</v>
      </c>
      <c r="E16" s="1">
        <v>0</v>
      </c>
      <c r="F16" s="1">
        <v>1</v>
      </c>
      <c r="G16" s="1">
        <v>2</v>
      </c>
      <c r="H16" s="13">
        <v>14.83</v>
      </c>
      <c r="I16" s="13">
        <v>3.02</v>
      </c>
      <c r="J16" s="10">
        <f t="shared" si="0"/>
        <v>2.5325445050810185</v>
      </c>
      <c r="K16" s="10">
        <f t="shared" si="1"/>
        <v>0.48745549491898155</v>
      </c>
      <c r="L16" s="10">
        <f t="shared" si="2"/>
        <v>0.23761285952670924</v>
      </c>
    </row>
    <row r="17" spans="1:15" x14ac:dyDescent="0.3">
      <c r="A17" s="1">
        <v>1</v>
      </c>
      <c r="B17" s="1">
        <v>0</v>
      </c>
      <c r="C17" s="1">
        <v>1</v>
      </c>
      <c r="D17" s="1">
        <v>0</v>
      </c>
      <c r="E17" s="1">
        <v>0</v>
      </c>
      <c r="F17" s="1">
        <v>1</v>
      </c>
      <c r="G17" s="1">
        <v>2</v>
      </c>
      <c r="H17" s="13">
        <v>21.58</v>
      </c>
      <c r="I17" s="13">
        <v>3.92</v>
      </c>
      <c r="J17" s="10">
        <f t="shared" si="0"/>
        <v>3.1355867730665601</v>
      </c>
      <c r="K17" s="10">
        <f t="shared" si="1"/>
        <v>0.78441322693343984</v>
      </c>
      <c r="L17" s="10">
        <f t="shared" si="2"/>
        <v>0.61530411058813217</v>
      </c>
    </row>
    <row r="18" spans="1:15" x14ac:dyDescent="0.3">
      <c r="A18" s="1">
        <v>0</v>
      </c>
      <c r="B18" s="1">
        <v>0</v>
      </c>
      <c r="C18" s="1">
        <v>1</v>
      </c>
      <c r="D18" s="1">
        <v>0</v>
      </c>
      <c r="E18" s="1">
        <v>0</v>
      </c>
      <c r="F18" s="1">
        <v>1</v>
      </c>
      <c r="G18" s="1">
        <v>3</v>
      </c>
      <c r="H18" s="13">
        <v>10.33</v>
      </c>
      <c r="I18" s="13">
        <v>1.67</v>
      </c>
      <c r="J18" s="10">
        <f t="shared" si="0"/>
        <v>2.2837446503283432</v>
      </c>
      <c r="K18" s="10">
        <f t="shared" si="1"/>
        <v>-0.61374465032834324</v>
      </c>
      <c r="L18" s="10">
        <f t="shared" si="2"/>
        <v>0.3766824958066603</v>
      </c>
    </row>
    <row r="19" spans="1:15" x14ac:dyDescent="0.3">
      <c r="A19" s="1">
        <v>1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3</v>
      </c>
      <c r="H19" s="13">
        <v>16.29</v>
      </c>
      <c r="I19" s="13">
        <v>3.71</v>
      </c>
      <c r="J19" s="10">
        <f t="shared" si="0"/>
        <v>2.8121951430849563</v>
      </c>
      <c r="K19" s="10">
        <f t="shared" si="1"/>
        <v>0.89780485691504364</v>
      </c>
      <c r="L19" s="10">
        <f t="shared" si="2"/>
        <v>0.80605356110024196</v>
      </c>
    </row>
    <row r="20" spans="1:15" x14ac:dyDescent="0.3">
      <c r="A20" s="1">
        <v>0</v>
      </c>
      <c r="B20" s="1">
        <v>0</v>
      </c>
      <c r="C20" s="1">
        <v>1</v>
      </c>
      <c r="D20" s="1">
        <v>0</v>
      </c>
      <c r="E20" s="1">
        <v>0</v>
      </c>
      <c r="F20" s="1">
        <v>1</v>
      </c>
      <c r="G20" s="1">
        <v>3</v>
      </c>
      <c r="H20" s="13">
        <v>16.97</v>
      </c>
      <c r="I20" s="13">
        <v>3.5</v>
      </c>
      <c r="J20" s="10">
        <f t="shared" si="0"/>
        <v>2.9106932421259231</v>
      </c>
      <c r="K20" s="10">
        <f t="shared" si="1"/>
        <v>0.58930675787407694</v>
      </c>
      <c r="L20" s="10">
        <f t="shared" si="2"/>
        <v>0.34728245487605591</v>
      </c>
    </row>
    <row r="21" spans="1:15" x14ac:dyDescent="0.3">
      <c r="A21" s="1">
        <v>1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3</v>
      </c>
      <c r="H21" s="13">
        <v>20.65</v>
      </c>
      <c r="I21" s="13">
        <v>3.35</v>
      </c>
      <c r="J21" s="10">
        <f t="shared" si="0"/>
        <v>3.1269624519331938</v>
      </c>
      <c r="K21" s="10">
        <f t="shared" si="1"/>
        <v>0.22303754806680631</v>
      </c>
      <c r="L21" s="10">
        <f t="shared" si="2"/>
        <v>4.9745747847652934E-2</v>
      </c>
    </row>
    <row r="22" spans="1:15" x14ac:dyDescent="0.3">
      <c r="A22" s="1">
        <v>1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2</v>
      </c>
      <c r="H22" s="13">
        <v>17.920000000000002</v>
      </c>
      <c r="I22" s="13">
        <v>4.08</v>
      </c>
      <c r="J22" s="10">
        <f t="shared" si="0"/>
        <v>2.6931059333882033</v>
      </c>
      <c r="K22" s="10">
        <f t="shared" si="1"/>
        <v>1.3868940666117968</v>
      </c>
      <c r="L22" s="10">
        <f t="shared" si="2"/>
        <v>1.9234751520030071</v>
      </c>
    </row>
    <row r="23" spans="1:15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2</v>
      </c>
      <c r="H23" s="13">
        <v>20.29</v>
      </c>
      <c r="I23" s="13">
        <v>2.75</v>
      </c>
      <c r="J23" s="10">
        <f t="shared" si="0"/>
        <v>2.9511737794378918</v>
      </c>
      <c r="K23" s="10">
        <f t="shared" si="1"/>
        <v>-0.20117377943789183</v>
      </c>
      <c r="L23" s="10">
        <f t="shared" si="2"/>
        <v>4.0470889533325553E-2</v>
      </c>
    </row>
    <row r="24" spans="1:15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2</v>
      </c>
      <c r="H24" s="13">
        <v>15.77</v>
      </c>
      <c r="I24" s="13">
        <v>2.23</v>
      </c>
      <c r="J24" s="10">
        <f t="shared" si="0"/>
        <v>2.5243955211660447</v>
      </c>
      <c r="K24" s="10">
        <f t="shared" si="1"/>
        <v>-0.29439552116604473</v>
      </c>
      <c r="L24" s="10">
        <f t="shared" si="2"/>
        <v>8.6668722882627086E-2</v>
      </c>
    </row>
    <row r="25" spans="1:15" x14ac:dyDescent="0.3">
      <c r="A25" s="1">
        <v>1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4</v>
      </c>
      <c r="H25" s="13">
        <v>39.42</v>
      </c>
      <c r="I25" s="13">
        <v>7.58</v>
      </c>
      <c r="J25" s="10">
        <f t="shared" si="0"/>
        <v>5.0753152675313755</v>
      </c>
      <c r="K25" s="10">
        <f t="shared" si="1"/>
        <v>2.5046847324686246</v>
      </c>
      <c r="L25" s="10">
        <f t="shared" si="2"/>
        <v>6.273445609061425</v>
      </c>
      <c r="N25" t="s">
        <v>32</v>
      </c>
    </row>
    <row r="26" spans="1:15" ht="15" thickBot="1" x14ac:dyDescent="0.35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2</v>
      </c>
      <c r="H26" s="13">
        <v>19.82</v>
      </c>
      <c r="I26" s="13">
        <v>3.18</v>
      </c>
      <c r="J26" s="10">
        <f t="shared" si="0"/>
        <v>2.8725038738122093</v>
      </c>
      <c r="K26" s="10">
        <f t="shared" si="1"/>
        <v>0.30749612618779087</v>
      </c>
      <c r="L26" s="10">
        <f t="shared" si="2"/>
        <v>9.4553867620497806E-2</v>
      </c>
    </row>
    <row r="27" spans="1:15" x14ac:dyDescent="0.3">
      <c r="A27" s="1">
        <v>1</v>
      </c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4</v>
      </c>
      <c r="H27" s="13">
        <v>17.809999999999999</v>
      </c>
      <c r="I27" s="13">
        <v>2.34</v>
      </c>
      <c r="J27" s="10">
        <f t="shared" si="0"/>
        <v>3.0348997451299136</v>
      </c>
      <c r="K27" s="10">
        <f t="shared" si="1"/>
        <v>-0.6948997451299137</v>
      </c>
      <c r="L27" s="10">
        <f t="shared" si="2"/>
        <v>0.48288565578161902</v>
      </c>
      <c r="N27" s="5" t="s">
        <v>33</v>
      </c>
      <c r="O27" s="5"/>
    </row>
    <row r="28" spans="1:15" x14ac:dyDescent="0.3">
      <c r="A28" s="1">
        <v>1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2</v>
      </c>
      <c r="H28" s="13">
        <v>13.37</v>
      </c>
      <c r="I28" s="13">
        <v>2</v>
      </c>
      <c r="J28" s="10">
        <f t="shared" si="0"/>
        <v>2.2634950760570298</v>
      </c>
      <c r="K28" s="10">
        <f t="shared" si="1"/>
        <v>-0.26349507605702982</v>
      </c>
      <c r="L28" s="10">
        <f t="shared" si="2"/>
        <v>6.9429655106299934E-2</v>
      </c>
      <c r="N28" t="s">
        <v>34</v>
      </c>
      <c r="O28">
        <v>0.68485627106952807</v>
      </c>
    </row>
    <row r="29" spans="1:15" x14ac:dyDescent="0.3">
      <c r="A29" s="1">
        <v>1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2</v>
      </c>
      <c r="H29" s="13">
        <v>12.69</v>
      </c>
      <c r="I29" s="13">
        <v>2</v>
      </c>
      <c r="J29" s="10">
        <f t="shared" si="0"/>
        <v>2.199289497378965</v>
      </c>
      <c r="K29" s="10">
        <f t="shared" si="1"/>
        <v>-0.19928949737896495</v>
      </c>
      <c r="L29" s="10">
        <f t="shared" si="2"/>
        <v>3.9716303765560478E-2</v>
      </c>
      <c r="N29" t="s">
        <v>35</v>
      </c>
      <c r="O29">
        <v>0.46902811202325895</v>
      </c>
    </row>
    <row r="30" spans="1:15" x14ac:dyDescent="0.3">
      <c r="A30" s="1">
        <v>1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2</v>
      </c>
      <c r="H30" s="13">
        <v>21.7</v>
      </c>
      <c r="I30" s="13">
        <v>4.3</v>
      </c>
      <c r="J30" s="10">
        <f t="shared" si="0"/>
        <v>3.0500134148633311</v>
      </c>
      <c r="K30" s="10">
        <f t="shared" si="1"/>
        <v>1.2499865851366687</v>
      </c>
      <c r="L30" s="10">
        <f t="shared" si="2"/>
        <v>1.5624664630216303</v>
      </c>
      <c r="N30" t="s">
        <v>36</v>
      </c>
      <c r="O30">
        <v>0.45087522696422505</v>
      </c>
    </row>
    <row r="31" spans="1:15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2</v>
      </c>
      <c r="H31" s="13">
        <v>19.649999999999999</v>
      </c>
      <c r="I31" s="13">
        <v>3</v>
      </c>
      <c r="J31" s="10">
        <f t="shared" si="0"/>
        <v>2.8907449995055945</v>
      </c>
      <c r="K31" s="10">
        <f t="shared" si="1"/>
        <v>0.10925500049440551</v>
      </c>
      <c r="L31" s="10">
        <f t="shared" si="2"/>
        <v>1.1936655133032548E-2</v>
      </c>
      <c r="N31" t="s">
        <v>37</v>
      </c>
      <c r="O31">
        <v>1.02632741683146</v>
      </c>
    </row>
    <row r="32" spans="1:15" ht="15" thickBot="1" x14ac:dyDescent="0.35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2</v>
      </c>
      <c r="H32" s="13">
        <v>9.5500000000000007</v>
      </c>
      <c r="I32" s="13">
        <v>1.45</v>
      </c>
      <c r="J32" s="10">
        <f t="shared" si="0"/>
        <v>1.9028107958361333</v>
      </c>
      <c r="K32" s="10">
        <f t="shared" si="1"/>
        <v>-0.45281079583613337</v>
      </c>
      <c r="L32" s="10">
        <f t="shared" si="2"/>
        <v>0.20503761682575247</v>
      </c>
      <c r="N32" s="3" t="s">
        <v>38</v>
      </c>
      <c r="O32" s="3">
        <v>243</v>
      </c>
    </row>
    <row r="33" spans="1:22" x14ac:dyDescent="0.3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4</v>
      </c>
      <c r="H33" s="13">
        <v>18.350000000000001</v>
      </c>
      <c r="I33" s="13">
        <v>2.5</v>
      </c>
      <c r="J33" s="10">
        <f t="shared" si="0"/>
        <v>3.0858865281977899</v>
      </c>
      <c r="K33" s="10">
        <f t="shared" si="1"/>
        <v>-0.58588652819778986</v>
      </c>
      <c r="L33" s="10">
        <f t="shared" si="2"/>
        <v>0.34326302392365959</v>
      </c>
    </row>
    <row r="34" spans="1:22" ht="15" thickBot="1" x14ac:dyDescent="0.3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2</v>
      </c>
      <c r="H34" s="13">
        <v>15.06</v>
      </c>
      <c r="I34" s="13">
        <v>3</v>
      </c>
      <c r="J34" s="10">
        <f t="shared" si="0"/>
        <v>2.4573573434286535</v>
      </c>
      <c r="K34" s="10">
        <f t="shared" si="1"/>
        <v>0.54264265657134647</v>
      </c>
      <c r="L34" s="10">
        <f t="shared" si="2"/>
        <v>0.29446105273080825</v>
      </c>
      <c r="N34" t="s">
        <v>39</v>
      </c>
    </row>
    <row r="35" spans="1:22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4</v>
      </c>
      <c r="H35" s="13">
        <v>20.69</v>
      </c>
      <c r="I35" s="13">
        <v>2.4500000000000002</v>
      </c>
      <c r="J35" s="10">
        <f t="shared" si="0"/>
        <v>3.3411217751881512</v>
      </c>
      <c r="K35" s="10">
        <f t="shared" si="1"/>
        <v>-0.89112177518815106</v>
      </c>
      <c r="L35" s="10">
        <f t="shared" si="2"/>
        <v>0.79409801821448167</v>
      </c>
      <c r="N35" s="4"/>
      <c r="O35" s="4" t="s">
        <v>44</v>
      </c>
      <c r="P35" s="4" t="s">
        <v>45</v>
      </c>
      <c r="Q35" s="4" t="s">
        <v>46</v>
      </c>
      <c r="R35" s="4" t="s">
        <v>47</v>
      </c>
      <c r="S35" s="4" t="s">
        <v>48</v>
      </c>
    </row>
    <row r="36" spans="1:22" x14ac:dyDescent="0.3">
      <c r="A36" s="1">
        <v>1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2</v>
      </c>
      <c r="H36" s="13">
        <v>17.78</v>
      </c>
      <c r="I36" s="13">
        <v>3.27</v>
      </c>
      <c r="J36" s="10">
        <f t="shared" si="0"/>
        <v>2.6798871377780134</v>
      </c>
      <c r="K36" s="10">
        <f t="shared" si="1"/>
        <v>0.59011286222198667</v>
      </c>
      <c r="L36" s="10">
        <f t="shared" si="2"/>
        <v>0.3482331901598254</v>
      </c>
      <c r="N36" t="s">
        <v>40</v>
      </c>
      <c r="O36">
        <v>8</v>
      </c>
      <c r="P36">
        <v>217.72839146751465</v>
      </c>
      <c r="Q36">
        <v>27.216048933439332</v>
      </c>
      <c r="R36">
        <v>25.837662195180624</v>
      </c>
      <c r="S36">
        <v>2.0322670463530769E-28</v>
      </c>
    </row>
    <row r="37" spans="1:22" x14ac:dyDescent="0.3">
      <c r="A37" s="1">
        <v>1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3</v>
      </c>
      <c r="H37" s="13">
        <v>24.06</v>
      </c>
      <c r="I37" s="13">
        <v>3.6</v>
      </c>
      <c r="J37" s="10">
        <f t="shared" si="0"/>
        <v>3.4489345450099629</v>
      </c>
      <c r="K37" s="10">
        <f t="shared" si="1"/>
        <v>0.15106545499003721</v>
      </c>
      <c r="L37" s="10">
        <f t="shared" si="2"/>
        <v>2.2820771691346955E-2</v>
      </c>
      <c r="N37" t="s">
        <v>41</v>
      </c>
      <c r="O37">
        <v>234</v>
      </c>
      <c r="P37">
        <v>246.48342417034542</v>
      </c>
      <c r="Q37">
        <v>1.0533479665399377</v>
      </c>
    </row>
    <row r="38" spans="1:22" ht="15" thickBot="1" x14ac:dyDescent="0.35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3</v>
      </c>
      <c r="H38" s="13">
        <v>16.309999999999999</v>
      </c>
      <c r="I38" s="13">
        <v>2</v>
      </c>
      <c r="J38" s="10">
        <f t="shared" si="0"/>
        <v>2.7171797880173054</v>
      </c>
      <c r="K38" s="10">
        <f t="shared" si="1"/>
        <v>-0.71717978801730542</v>
      </c>
      <c r="L38" s="10">
        <f t="shared" si="2"/>
        <v>0.51434684834054711</v>
      </c>
      <c r="N38" s="3" t="s">
        <v>42</v>
      </c>
      <c r="O38" s="3">
        <v>242</v>
      </c>
      <c r="P38" s="3">
        <v>464.21181563786007</v>
      </c>
      <c r="Q38" s="3"/>
      <c r="R38" s="3"/>
      <c r="S38" s="3"/>
    </row>
    <row r="39" spans="1:22" ht="15" thickBot="1" x14ac:dyDescent="0.3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3</v>
      </c>
      <c r="H39" s="13">
        <v>16.93</v>
      </c>
      <c r="I39" s="13">
        <v>3.07</v>
      </c>
      <c r="J39" s="10">
        <f t="shared" si="0"/>
        <v>2.8100126889396204</v>
      </c>
      <c r="K39" s="10">
        <f t="shared" si="1"/>
        <v>0.25998731106037942</v>
      </c>
      <c r="L39" s="10">
        <f t="shared" si="2"/>
        <v>6.7593401912406495E-2</v>
      </c>
    </row>
    <row r="40" spans="1:22" x14ac:dyDescent="0.3">
      <c r="A40" s="1">
        <v>1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3</v>
      </c>
      <c r="H40" s="13">
        <v>18.690000000000001</v>
      </c>
      <c r="I40" s="13">
        <v>2.31</v>
      </c>
      <c r="J40" s="10">
        <f t="shared" si="0"/>
        <v>2.9418993133905351</v>
      </c>
      <c r="K40" s="10">
        <f t="shared" si="1"/>
        <v>-0.63189931339053507</v>
      </c>
      <c r="L40" s="10">
        <f t="shared" si="2"/>
        <v>0.39929674226342965</v>
      </c>
      <c r="N40" s="4"/>
      <c r="O40" s="4" t="s">
        <v>49</v>
      </c>
      <c r="P40" s="4" t="s">
        <v>37</v>
      </c>
      <c r="Q40" s="4" t="s">
        <v>50</v>
      </c>
      <c r="R40" s="4" t="s">
        <v>51</v>
      </c>
      <c r="S40" s="4" t="s">
        <v>52</v>
      </c>
      <c r="T40" s="4" t="s">
        <v>53</v>
      </c>
      <c r="U40" s="4" t="s">
        <v>54</v>
      </c>
      <c r="V40" s="4" t="s">
        <v>55</v>
      </c>
    </row>
    <row r="41" spans="1:22" x14ac:dyDescent="0.3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3</v>
      </c>
      <c r="H41" s="13">
        <v>31.27</v>
      </c>
      <c r="I41" s="13">
        <v>5</v>
      </c>
      <c r="J41" s="10">
        <f t="shared" si="0"/>
        <v>4.1297025189347449</v>
      </c>
      <c r="K41" s="10">
        <f t="shared" si="1"/>
        <v>0.87029748106525506</v>
      </c>
      <c r="L41" s="10">
        <f t="shared" si="2"/>
        <v>0.75741770554852794</v>
      </c>
      <c r="N41" t="s">
        <v>43</v>
      </c>
      <c r="O41">
        <v>0.75108101488023737</v>
      </c>
      <c r="P41">
        <v>0.50529307495581566</v>
      </c>
      <c r="Q41">
        <v>1.4864264960407663</v>
      </c>
      <c r="R41">
        <v>0.13851244636909532</v>
      </c>
      <c r="S41">
        <v>-0.24442397733648102</v>
      </c>
      <c r="T41">
        <v>1.7465860070969557</v>
      </c>
      <c r="U41">
        <v>-0.24442397733648102</v>
      </c>
      <c r="V41">
        <v>1.7465860070969557</v>
      </c>
    </row>
    <row r="42" spans="1:22" x14ac:dyDescent="0.3">
      <c r="A42" s="1">
        <v>1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3</v>
      </c>
      <c r="H42" s="13">
        <v>16.04</v>
      </c>
      <c r="I42" s="13">
        <v>2.2400000000000002</v>
      </c>
      <c r="J42" s="10">
        <f t="shared" si="0"/>
        <v>2.6916863964833677</v>
      </c>
      <c r="K42" s="10">
        <f t="shared" si="1"/>
        <v>-0.4516863964833675</v>
      </c>
      <c r="L42" s="10">
        <f t="shared" si="2"/>
        <v>0.20402060076812986</v>
      </c>
      <c r="N42" t="s">
        <v>30</v>
      </c>
      <c r="O42">
        <v>-3.4292520362901729E-2</v>
      </c>
      <c r="P42">
        <v>0.14219877168475481</v>
      </c>
      <c r="Q42">
        <v>-0.24115904769505295</v>
      </c>
      <c r="R42">
        <v>0.80964302615469852</v>
      </c>
      <c r="S42">
        <v>-0.3144459483742339</v>
      </c>
      <c r="T42">
        <v>0.24586090764843041</v>
      </c>
      <c r="U42">
        <v>-0.3144459483742339</v>
      </c>
      <c r="V42">
        <v>0.24586090764843041</v>
      </c>
    </row>
    <row r="43" spans="1:22" x14ac:dyDescent="0.3">
      <c r="A43" s="1">
        <v>1</v>
      </c>
      <c r="B43" s="1">
        <v>0</v>
      </c>
      <c r="C43" s="1">
        <v>1</v>
      </c>
      <c r="D43" s="1">
        <v>0</v>
      </c>
      <c r="E43" s="1">
        <v>0</v>
      </c>
      <c r="F43" s="1">
        <v>1</v>
      </c>
      <c r="G43" s="1">
        <v>2</v>
      </c>
      <c r="H43" s="13">
        <v>17.46</v>
      </c>
      <c r="I43" s="13">
        <v>2.54</v>
      </c>
      <c r="J43" s="10">
        <f t="shared" si="0"/>
        <v>2.7465765022523994</v>
      </c>
      <c r="K43" s="10">
        <f t="shared" si="1"/>
        <v>-0.20657650225239932</v>
      </c>
      <c r="L43" s="10">
        <f t="shared" si="2"/>
        <v>4.2673851282835538E-2</v>
      </c>
      <c r="N43" t="s">
        <v>29</v>
      </c>
      <c r="O43">
        <v>-8.3248125793157893E-2</v>
      </c>
      <c r="P43">
        <v>0.1477206006574116</v>
      </c>
      <c r="Q43">
        <v>-0.5635512272673735</v>
      </c>
      <c r="R43">
        <v>0.57359923232804344</v>
      </c>
      <c r="S43">
        <v>-0.37428040526891476</v>
      </c>
      <c r="T43">
        <v>0.207784153682599</v>
      </c>
      <c r="U43">
        <v>-0.37428040526891476</v>
      </c>
      <c r="V43">
        <v>0.207784153682599</v>
      </c>
    </row>
    <row r="44" spans="1:22" x14ac:dyDescent="0.3">
      <c r="A44" s="1">
        <v>1</v>
      </c>
      <c r="B44" s="1">
        <v>0</v>
      </c>
      <c r="C44" s="1">
        <v>1</v>
      </c>
      <c r="D44" s="1">
        <v>0</v>
      </c>
      <c r="E44" s="1">
        <v>0</v>
      </c>
      <c r="F44" s="1">
        <v>1</v>
      </c>
      <c r="G44" s="1">
        <v>2</v>
      </c>
      <c r="H44" s="13">
        <v>13.94</v>
      </c>
      <c r="I44" s="13">
        <v>3.06</v>
      </c>
      <c r="J44" s="10">
        <f t="shared" si="0"/>
        <v>2.4142182126247667</v>
      </c>
      <c r="K44" s="10">
        <f t="shared" si="1"/>
        <v>0.6457817873752334</v>
      </c>
      <c r="L44" s="10">
        <f t="shared" si="2"/>
        <v>0.41703411690555114</v>
      </c>
      <c r="N44" t="s">
        <v>27</v>
      </c>
      <c r="O44">
        <v>9.6903754440534381E-2</v>
      </c>
      <c r="P44">
        <v>0.1662846145831102</v>
      </c>
      <c r="Q44">
        <v>0.58275839098812843</v>
      </c>
      <c r="R44">
        <v>0.56061710194170156</v>
      </c>
      <c r="S44">
        <v>-0.2307024846926542</v>
      </c>
      <c r="T44">
        <v>0.42450999357372299</v>
      </c>
      <c r="U44">
        <v>-0.2307024846926542</v>
      </c>
      <c r="V44">
        <v>0.42450999357372299</v>
      </c>
    </row>
    <row r="45" spans="1:22" x14ac:dyDescent="0.3">
      <c r="A45" s="1">
        <v>1</v>
      </c>
      <c r="B45" s="1">
        <v>0</v>
      </c>
      <c r="C45" s="1">
        <v>1</v>
      </c>
      <c r="D45" s="1">
        <v>0</v>
      </c>
      <c r="E45" s="1">
        <v>0</v>
      </c>
      <c r="F45" s="1">
        <v>1</v>
      </c>
      <c r="G45" s="1">
        <v>2</v>
      </c>
      <c r="H45" s="13">
        <v>9.68</v>
      </c>
      <c r="I45" s="13">
        <v>1.32</v>
      </c>
      <c r="J45" s="10">
        <f t="shared" si="0"/>
        <v>2.0119891462004151</v>
      </c>
      <c r="K45" s="10">
        <f t="shared" si="1"/>
        <v>-0.69198914620041507</v>
      </c>
      <c r="L45" s="10">
        <f t="shared" si="2"/>
        <v>0.47884897845917945</v>
      </c>
      <c r="N45" t="s">
        <v>28</v>
      </c>
      <c r="O45">
        <v>-3.7029723440494704E-2</v>
      </c>
      <c r="P45">
        <v>0.47193762542345435</v>
      </c>
      <c r="Q45">
        <v>-7.8463172770488754E-2</v>
      </c>
      <c r="R45">
        <v>0.93752667771668419</v>
      </c>
      <c r="S45">
        <v>-0.96681935525968132</v>
      </c>
      <c r="T45">
        <v>0.8927599083786919</v>
      </c>
      <c r="U45">
        <v>-0.96681935525968132</v>
      </c>
      <c r="V45">
        <v>0.8927599083786919</v>
      </c>
    </row>
    <row r="46" spans="1:22" x14ac:dyDescent="0.3">
      <c r="A46" s="1">
        <v>1</v>
      </c>
      <c r="B46" s="1">
        <v>0</v>
      </c>
      <c r="C46" s="1">
        <v>1</v>
      </c>
      <c r="D46" s="1">
        <v>0</v>
      </c>
      <c r="E46" s="1">
        <v>0</v>
      </c>
      <c r="F46" s="1">
        <v>1</v>
      </c>
      <c r="G46" s="1">
        <v>4</v>
      </c>
      <c r="H46" s="13">
        <v>30.4</v>
      </c>
      <c r="I46" s="13">
        <v>5.6</v>
      </c>
      <c r="J46" s="10">
        <f t="shared" si="0"/>
        <v>4.3205509048011006</v>
      </c>
      <c r="K46" s="10">
        <f t="shared" si="1"/>
        <v>1.279449095198899</v>
      </c>
      <c r="L46" s="10">
        <f t="shared" si="2"/>
        <v>1.6369899872052813</v>
      </c>
      <c r="N46" t="s">
        <v>26</v>
      </c>
      <c r="O46">
        <v>0.12012363949927385</v>
      </c>
      <c r="P46">
        <v>0.31044698794004882</v>
      </c>
      <c r="Q46">
        <v>0.38693768715988064</v>
      </c>
      <c r="R46">
        <v>0.69915399981530091</v>
      </c>
      <c r="S46">
        <v>-0.49150462463236178</v>
      </c>
      <c r="T46">
        <v>0.73175190363090947</v>
      </c>
      <c r="U46">
        <v>-0.49150462463236178</v>
      </c>
      <c r="V46">
        <v>0.73175190363090947</v>
      </c>
    </row>
    <row r="47" spans="1:22" x14ac:dyDescent="0.3">
      <c r="A47" s="1">
        <v>1</v>
      </c>
      <c r="B47" s="1">
        <v>0</v>
      </c>
      <c r="C47" s="1">
        <v>1</v>
      </c>
      <c r="D47" s="1">
        <v>0</v>
      </c>
      <c r="E47" s="1">
        <v>0</v>
      </c>
      <c r="F47" s="1">
        <v>1</v>
      </c>
      <c r="G47" s="1">
        <v>2</v>
      </c>
      <c r="H47" s="13">
        <v>18.29</v>
      </c>
      <c r="I47" s="13">
        <v>3</v>
      </c>
      <c r="J47" s="10">
        <f t="shared" si="0"/>
        <v>2.8249450762270962</v>
      </c>
      <c r="K47" s="10">
        <f t="shared" si="1"/>
        <v>0.17505492377290377</v>
      </c>
      <c r="L47" s="10">
        <f t="shared" si="2"/>
        <v>3.0644226337137148E-2</v>
      </c>
      <c r="N47" t="s">
        <v>31</v>
      </c>
      <c r="O47">
        <v>-6.7868407526018873E-2</v>
      </c>
      <c r="P47">
        <v>0.44552902868693972</v>
      </c>
      <c r="Q47">
        <v>-0.15233217850257749</v>
      </c>
      <c r="R47">
        <v>0.87905620937290441</v>
      </c>
      <c r="S47">
        <v>-0.94562904628818145</v>
      </c>
      <c r="T47">
        <v>0.80989223123614373</v>
      </c>
      <c r="U47">
        <v>-0.94562904628818145</v>
      </c>
      <c r="V47">
        <v>0.80989223123614373</v>
      </c>
    </row>
    <row r="48" spans="1:22" x14ac:dyDescent="0.3">
      <c r="A48" s="1">
        <v>1</v>
      </c>
      <c r="B48" s="1">
        <v>0</v>
      </c>
      <c r="C48" s="1">
        <v>1</v>
      </c>
      <c r="D48" s="1">
        <v>0</v>
      </c>
      <c r="E48" s="1">
        <v>0</v>
      </c>
      <c r="F48" s="1">
        <v>1</v>
      </c>
      <c r="G48" s="1">
        <v>2</v>
      </c>
      <c r="H48" s="13">
        <v>22.23</v>
      </c>
      <c r="I48" s="13">
        <v>5</v>
      </c>
      <c r="J48" s="10">
        <f t="shared" si="0"/>
        <v>3.1969597526852995</v>
      </c>
      <c r="K48" s="10">
        <f t="shared" si="1"/>
        <v>1.8030402473147005</v>
      </c>
      <c r="L48" s="10">
        <f t="shared" si="2"/>
        <v>3.2509541334366561</v>
      </c>
      <c r="N48" t="s">
        <v>4</v>
      </c>
      <c r="O48">
        <v>0.17609000414628706</v>
      </c>
      <c r="P48">
        <v>8.9712356849442745E-2</v>
      </c>
      <c r="Q48">
        <v>1.9628288714096007</v>
      </c>
      <c r="R48">
        <v>5.0850842801363094E-2</v>
      </c>
      <c r="S48">
        <v>-6.5712248899765791E-4</v>
      </c>
      <c r="T48">
        <v>0.35283713078157175</v>
      </c>
      <c r="U48">
        <v>-6.5712248899765791E-4</v>
      </c>
      <c r="V48">
        <v>0.35283713078157175</v>
      </c>
    </row>
    <row r="49" spans="1:22" ht="15" thickBot="1" x14ac:dyDescent="0.35">
      <c r="A49" s="1">
        <v>1</v>
      </c>
      <c r="B49" s="1">
        <v>0</v>
      </c>
      <c r="C49" s="1">
        <v>1</v>
      </c>
      <c r="D49" s="1">
        <v>0</v>
      </c>
      <c r="E49" s="1">
        <v>0</v>
      </c>
      <c r="F49" s="1">
        <v>1</v>
      </c>
      <c r="G49" s="1">
        <v>4</v>
      </c>
      <c r="H49" s="13">
        <v>32.4</v>
      </c>
      <c r="I49" s="13">
        <v>6</v>
      </c>
      <c r="J49" s="10">
        <f t="shared" si="0"/>
        <v>4.5093908420895286</v>
      </c>
      <c r="K49" s="10">
        <f t="shared" si="1"/>
        <v>1.4906091579104714</v>
      </c>
      <c r="L49" s="10">
        <f t="shared" si="2"/>
        <v>2.2219156616465647</v>
      </c>
      <c r="N49" s="3" t="s">
        <v>5</v>
      </c>
      <c r="O49" s="3">
        <v>9.4419968644213856E-2</v>
      </c>
      <c r="P49" s="3">
        <v>9.6267970657712577E-3</v>
      </c>
      <c r="Q49" s="3">
        <v>9.8080356321138815</v>
      </c>
      <c r="R49" s="3">
        <v>3.0340226930704274E-19</v>
      </c>
      <c r="S49" s="3">
        <v>7.545369933828569E-2</v>
      </c>
      <c r="T49" s="3">
        <v>0.11338623795014202</v>
      </c>
      <c r="U49" s="3">
        <v>7.545369933828569E-2</v>
      </c>
      <c r="V49" s="3">
        <v>0.11338623795014202</v>
      </c>
    </row>
    <row r="50" spans="1:22" x14ac:dyDescent="0.3">
      <c r="A50" s="1">
        <v>1</v>
      </c>
      <c r="B50" s="1">
        <v>0</v>
      </c>
      <c r="C50" s="1">
        <v>1</v>
      </c>
      <c r="D50" s="1">
        <v>0</v>
      </c>
      <c r="E50" s="1">
        <v>0</v>
      </c>
      <c r="F50" s="1">
        <v>1</v>
      </c>
      <c r="G50" s="1">
        <v>3</v>
      </c>
      <c r="H50" s="13">
        <v>28.55</v>
      </c>
      <c r="I50" s="13">
        <v>2.0499999999999998</v>
      </c>
      <c r="J50" s="10">
        <f t="shared" si="0"/>
        <v>3.9697839586630179</v>
      </c>
      <c r="K50" s="10">
        <f t="shared" si="1"/>
        <v>-1.9197839586630181</v>
      </c>
      <c r="L50" s="10">
        <f t="shared" si="2"/>
        <v>3.6855704479398486</v>
      </c>
    </row>
    <row r="51" spans="1:22" x14ac:dyDescent="0.3">
      <c r="A51" s="1">
        <v>1</v>
      </c>
      <c r="B51" s="1">
        <v>0</v>
      </c>
      <c r="C51" s="1">
        <v>1</v>
      </c>
      <c r="D51" s="1">
        <v>0</v>
      </c>
      <c r="E51" s="1">
        <v>0</v>
      </c>
      <c r="F51" s="1">
        <v>1</v>
      </c>
      <c r="G51" s="1">
        <v>2</v>
      </c>
      <c r="H51" s="13">
        <v>18.04</v>
      </c>
      <c r="I51" s="13">
        <v>3</v>
      </c>
      <c r="J51" s="10">
        <f t="shared" si="0"/>
        <v>2.8013400840660427</v>
      </c>
      <c r="K51" s="10">
        <f t="shared" si="1"/>
        <v>0.19865991593395727</v>
      </c>
      <c r="L51" s="10">
        <f t="shared" si="2"/>
        <v>3.9465762198886971E-2</v>
      </c>
    </row>
    <row r="52" spans="1:22" x14ac:dyDescent="0.3">
      <c r="A52" s="1">
        <v>1</v>
      </c>
      <c r="B52" s="1">
        <v>0</v>
      </c>
      <c r="C52" s="1">
        <v>1</v>
      </c>
      <c r="D52" s="1">
        <v>0</v>
      </c>
      <c r="E52" s="1">
        <v>0</v>
      </c>
      <c r="F52" s="1">
        <v>1</v>
      </c>
      <c r="G52" s="1">
        <v>2</v>
      </c>
      <c r="H52" s="13">
        <v>12.54</v>
      </c>
      <c r="I52" s="13">
        <v>2.5</v>
      </c>
      <c r="J52" s="10">
        <f t="shared" si="0"/>
        <v>2.2820302565228667</v>
      </c>
      <c r="K52" s="10">
        <f t="shared" si="1"/>
        <v>0.21796974347713327</v>
      </c>
      <c r="L52" s="10">
        <f t="shared" si="2"/>
        <v>4.7510809071487282E-2</v>
      </c>
    </row>
    <row r="53" spans="1:22" x14ac:dyDescent="0.3">
      <c r="A53" s="1">
        <v>0</v>
      </c>
      <c r="B53" s="1">
        <v>0</v>
      </c>
      <c r="C53" s="1">
        <v>1</v>
      </c>
      <c r="D53" s="1">
        <v>0</v>
      </c>
      <c r="E53" s="1">
        <v>0</v>
      </c>
      <c r="F53" s="1">
        <v>1</v>
      </c>
      <c r="G53" s="1">
        <v>2</v>
      </c>
      <c r="H53" s="13">
        <v>10.29</v>
      </c>
      <c r="I53" s="13">
        <v>2.6</v>
      </c>
      <c r="J53" s="10">
        <f t="shared" si="0"/>
        <v>2.1038778474362871</v>
      </c>
      <c r="K53" s="10">
        <f t="shared" si="1"/>
        <v>0.49612215256371295</v>
      </c>
      <c r="L53" s="10">
        <f t="shared" si="2"/>
        <v>0.24613719026445208</v>
      </c>
    </row>
    <row r="54" spans="1:22" x14ac:dyDescent="0.3">
      <c r="A54" s="1">
        <v>0</v>
      </c>
      <c r="B54" s="1">
        <v>0</v>
      </c>
      <c r="C54" s="1">
        <v>1</v>
      </c>
      <c r="D54" s="1">
        <v>0</v>
      </c>
      <c r="E54" s="1">
        <v>0</v>
      </c>
      <c r="F54" s="1">
        <v>1</v>
      </c>
      <c r="G54" s="1">
        <v>4</v>
      </c>
      <c r="H54" s="13">
        <v>34.81</v>
      </c>
      <c r="I54" s="13">
        <v>5.2</v>
      </c>
      <c r="J54" s="10">
        <f t="shared" si="0"/>
        <v>4.7712354868849856</v>
      </c>
      <c r="K54" s="10">
        <f t="shared" si="1"/>
        <v>0.42876451311501462</v>
      </c>
      <c r="L54" s="10">
        <f t="shared" si="2"/>
        <v>0.18383900770675554</v>
      </c>
    </row>
    <row r="55" spans="1:22" x14ac:dyDescent="0.3">
      <c r="A55" s="1">
        <v>1</v>
      </c>
      <c r="B55" s="1">
        <v>0</v>
      </c>
      <c r="C55" s="1">
        <v>1</v>
      </c>
      <c r="D55" s="1">
        <v>0</v>
      </c>
      <c r="E55" s="1">
        <v>0</v>
      </c>
      <c r="F55" s="1">
        <v>1</v>
      </c>
      <c r="G55" s="1">
        <v>2</v>
      </c>
      <c r="H55" s="13">
        <v>9.94</v>
      </c>
      <c r="I55" s="13">
        <v>1.56</v>
      </c>
      <c r="J55" s="10">
        <f t="shared" si="0"/>
        <v>2.0365383380479107</v>
      </c>
      <c r="K55" s="10">
        <f t="shared" si="1"/>
        <v>-0.47653833804791068</v>
      </c>
      <c r="L55" s="10">
        <f t="shared" si="2"/>
        <v>0.2270887876294648</v>
      </c>
    </row>
    <row r="56" spans="1:22" x14ac:dyDescent="0.3">
      <c r="A56" s="1">
        <v>1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v>4</v>
      </c>
      <c r="H56" s="13">
        <v>25.56</v>
      </c>
      <c r="I56" s="13">
        <v>4.34</v>
      </c>
      <c r="J56" s="10">
        <f t="shared" si="0"/>
        <v>3.8635582565631053</v>
      </c>
      <c r="K56" s="10">
        <f t="shared" si="1"/>
        <v>0.4764417434368946</v>
      </c>
      <c r="L56" s="10">
        <f t="shared" si="2"/>
        <v>0.2269967348891877</v>
      </c>
    </row>
    <row r="57" spans="1:22" x14ac:dyDescent="0.3">
      <c r="A57" s="1">
        <v>1</v>
      </c>
      <c r="B57" s="1">
        <v>0</v>
      </c>
      <c r="C57" s="1">
        <v>1</v>
      </c>
      <c r="D57" s="1">
        <v>0</v>
      </c>
      <c r="E57" s="1">
        <v>0</v>
      </c>
      <c r="F57" s="1">
        <v>1</v>
      </c>
      <c r="G57" s="1">
        <v>2</v>
      </c>
      <c r="H57" s="13">
        <v>19.489999999999998</v>
      </c>
      <c r="I57" s="13">
        <v>3.51</v>
      </c>
      <c r="J57" s="10">
        <f t="shared" si="0"/>
        <v>2.9382490386001532</v>
      </c>
      <c r="K57" s="10">
        <f t="shared" si="1"/>
        <v>0.5717509613998466</v>
      </c>
      <c r="L57" s="10">
        <f t="shared" si="2"/>
        <v>0.32689916186164886</v>
      </c>
    </row>
    <row r="58" spans="1:22" x14ac:dyDescent="0.3">
      <c r="A58" s="1">
        <v>1</v>
      </c>
      <c r="B58" s="1">
        <v>1</v>
      </c>
      <c r="C58" s="1">
        <v>0</v>
      </c>
      <c r="D58" s="1">
        <v>0</v>
      </c>
      <c r="E58" s="1">
        <v>0</v>
      </c>
      <c r="F58" s="1">
        <v>1</v>
      </c>
      <c r="G58" s="1">
        <v>4</v>
      </c>
      <c r="H58" s="13">
        <v>38.01</v>
      </c>
      <c r="I58" s="13">
        <v>3</v>
      </c>
      <c r="J58" s="10">
        <f t="shared" si="0"/>
        <v>4.8589349859498761</v>
      </c>
      <c r="K58" s="10">
        <f t="shared" si="1"/>
        <v>-1.8589349859498761</v>
      </c>
      <c r="L58" s="10">
        <f t="shared" si="2"/>
        <v>3.455639281988466</v>
      </c>
    </row>
    <row r="59" spans="1:22" x14ac:dyDescent="0.3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2</v>
      </c>
      <c r="H59" s="13">
        <v>26.41</v>
      </c>
      <c r="I59" s="13">
        <v>1.5</v>
      </c>
      <c r="J59" s="10">
        <f t="shared" si="0"/>
        <v>3.529023987540481</v>
      </c>
      <c r="K59" s="10">
        <f t="shared" si="1"/>
        <v>-2.029023987540481</v>
      </c>
      <c r="L59" s="10">
        <f t="shared" si="2"/>
        <v>4.1169383420146737</v>
      </c>
    </row>
    <row r="60" spans="1:22" x14ac:dyDescent="0.3">
      <c r="A60" s="1">
        <v>1</v>
      </c>
      <c r="B60" s="1">
        <v>1</v>
      </c>
      <c r="C60" s="1">
        <v>0</v>
      </c>
      <c r="D60" s="1">
        <v>0</v>
      </c>
      <c r="E60" s="1">
        <v>0</v>
      </c>
      <c r="F60" s="1">
        <v>1</v>
      </c>
      <c r="G60" s="1">
        <v>2</v>
      </c>
      <c r="H60" s="13">
        <v>11.24</v>
      </c>
      <c r="I60" s="13">
        <v>1.76</v>
      </c>
      <c r="J60" s="10">
        <f t="shared" si="0"/>
        <v>1.9791324170516968</v>
      </c>
      <c r="K60" s="10">
        <f t="shared" si="1"/>
        <v>-0.21913241705169684</v>
      </c>
      <c r="L60" s="10">
        <f t="shared" si="2"/>
        <v>4.8019016202918798E-2</v>
      </c>
    </row>
    <row r="61" spans="1:22" x14ac:dyDescent="0.3">
      <c r="A61" s="1">
        <v>1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4</v>
      </c>
      <c r="H61" s="13">
        <v>48.27</v>
      </c>
      <c r="I61" s="13">
        <v>6.73</v>
      </c>
      <c r="J61" s="10">
        <f t="shared" si="0"/>
        <v>5.9109319900326689</v>
      </c>
      <c r="K61" s="10">
        <f t="shared" si="1"/>
        <v>0.81906800996733153</v>
      </c>
      <c r="L61" s="10">
        <f t="shared" si="2"/>
        <v>0.67087240495184475</v>
      </c>
    </row>
    <row r="62" spans="1:22" x14ac:dyDescent="0.3">
      <c r="A62" s="1">
        <v>1</v>
      </c>
      <c r="B62" s="1">
        <v>1</v>
      </c>
      <c r="C62" s="1">
        <v>0</v>
      </c>
      <c r="D62" s="1">
        <v>0</v>
      </c>
      <c r="E62" s="1">
        <v>0</v>
      </c>
      <c r="F62" s="1">
        <v>1</v>
      </c>
      <c r="G62" s="1">
        <v>2</v>
      </c>
      <c r="H62" s="13">
        <v>20.29</v>
      </c>
      <c r="I62" s="13">
        <v>3.21</v>
      </c>
      <c r="J62" s="10">
        <f t="shared" si="0"/>
        <v>2.8336331332818325</v>
      </c>
      <c r="K62" s="10">
        <f t="shared" si="1"/>
        <v>0.37636686671816744</v>
      </c>
      <c r="L62" s="10">
        <f t="shared" si="2"/>
        <v>0.14165201836325081</v>
      </c>
    </row>
    <row r="63" spans="1:22" x14ac:dyDescent="0.3">
      <c r="A63" s="1">
        <v>1</v>
      </c>
      <c r="B63" s="1">
        <v>1</v>
      </c>
      <c r="C63" s="1">
        <v>0</v>
      </c>
      <c r="D63" s="1">
        <v>0</v>
      </c>
      <c r="E63" s="1">
        <v>0</v>
      </c>
      <c r="F63" s="1">
        <v>1</v>
      </c>
      <c r="G63" s="1">
        <v>2</v>
      </c>
      <c r="H63" s="13">
        <v>13.81</v>
      </c>
      <c r="I63" s="13">
        <v>2</v>
      </c>
      <c r="J63" s="10">
        <f t="shared" si="0"/>
        <v>2.2217917364673263</v>
      </c>
      <c r="K63" s="10">
        <f t="shared" si="1"/>
        <v>-0.22179173646732631</v>
      </c>
      <c r="L63" s="10">
        <f t="shared" si="2"/>
        <v>4.919157436519192E-2</v>
      </c>
    </row>
    <row r="64" spans="1:22" x14ac:dyDescent="0.3">
      <c r="A64" s="1">
        <v>1</v>
      </c>
      <c r="B64" s="1">
        <v>1</v>
      </c>
      <c r="C64" s="1">
        <v>0</v>
      </c>
      <c r="D64" s="1">
        <v>0</v>
      </c>
      <c r="E64" s="1">
        <v>0</v>
      </c>
      <c r="F64" s="1">
        <v>1</v>
      </c>
      <c r="G64" s="1">
        <v>2</v>
      </c>
      <c r="H64" s="13">
        <v>11.02</v>
      </c>
      <c r="I64" s="13">
        <v>1.98</v>
      </c>
      <c r="J64" s="10">
        <f t="shared" si="0"/>
        <v>1.9583600239499697</v>
      </c>
      <c r="K64" s="10">
        <f t="shared" si="1"/>
        <v>2.1639976050030318E-2</v>
      </c>
      <c r="L64" s="10">
        <f t="shared" si="2"/>
        <v>4.6828856344588579E-4</v>
      </c>
    </row>
    <row r="65" spans="1:12" x14ac:dyDescent="0.3">
      <c r="A65" s="1">
        <v>1</v>
      </c>
      <c r="B65" s="1">
        <v>1</v>
      </c>
      <c r="C65" s="1">
        <v>0</v>
      </c>
      <c r="D65" s="1">
        <v>0</v>
      </c>
      <c r="E65" s="1">
        <v>0</v>
      </c>
      <c r="F65" s="1">
        <v>1</v>
      </c>
      <c r="G65" s="1">
        <v>4</v>
      </c>
      <c r="H65" s="13">
        <v>18.29</v>
      </c>
      <c r="I65" s="13">
        <v>3.76</v>
      </c>
      <c r="J65" s="10">
        <f t="shared" si="0"/>
        <v>2.9969732042859789</v>
      </c>
      <c r="K65" s="10">
        <f t="shared" si="1"/>
        <v>0.76302679571402088</v>
      </c>
      <c r="L65" s="10">
        <f t="shared" si="2"/>
        <v>0.58220989097760611</v>
      </c>
    </row>
    <row r="66" spans="1:12" x14ac:dyDescent="0.3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3</v>
      </c>
      <c r="H66" s="13">
        <v>17.59</v>
      </c>
      <c r="I66" s="13">
        <v>2.64</v>
      </c>
      <c r="J66" s="10">
        <f t="shared" si="0"/>
        <v>2.8380373478818992</v>
      </c>
      <c r="K66" s="10">
        <f t="shared" si="1"/>
        <v>-0.19803734788189908</v>
      </c>
      <c r="L66" s="10">
        <f t="shared" si="2"/>
        <v>3.9218791156096319E-2</v>
      </c>
    </row>
    <row r="67" spans="1:12" x14ac:dyDescent="0.3">
      <c r="A67" s="1">
        <v>1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3</v>
      </c>
      <c r="H67" s="13">
        <v>20.079999999999998</v>
      </c>
      <c r="I67" s="13">
        <v>3.15</v>
      </c>
      <c r="J67" s="10">
        <f t="shared" ref="J67:J130" si="3">A67*$N$2+B67*$N$3+C67*$N$4+D67*$N$5+E67*$N$6+F67*$N$7+G67*$N$8+H67*$N$9+$N$1</f>
        <v>3.0731430698059921</v>
      </c>
      <c r="K67" s="10">
        <f t="shared" ref="K67:K130" si="4">I67-J67</f>
        <v>7.6856930194007855E-2</v>
      </c>
      <c r="L67" s="10">
        <f t="shared" ref="L67:L130" si="5">K67^2</f>
        <v>5.9069877188465967E-3</v>
      </c>
    </row>
    <row r="68" spans="1:12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2</v>
      </c>
      <c r="H68" s="13">
        <v>16.45</v>
      </c>
      <c r="I68" s="13">
        <v>2.4700000000000002</v>
      </c>
      <c r="J68" s="10">
        <f t="shared" si="3"/>
        <v>2.5886010998441105</v>
      </c>
      <c r="K68" s="10">
        <f t="shared" si="4"/>
        <v>-0.11860109984411027</v>
      </c>
      <c r="L68" s="10">
        <f t="shared" si="5"/>
        <v>1.4066220884232613E-2</v>
      </c>
    </row>
    <row r="69" spans="1:12" x14ac:dyDescent="0.3">
      <c r="A69" s="1">
        <v>0</v>
      </c>
      <c r="B69" s="1">
        <v>1</v>
      </c>
      <c r="C69" s="1">
        <v>0</v>
      </c>
      <c r="D69" s="1">
        <v>0</v>
      </c>
      <c r="E69" s="1">
        <v>0</v>
      </c>
      <c r="F69" s="1">
        <v>1</v>
      </c>
      <c r="G69" s="1">
        <v>1</v>
      </c>
      <c r="H69" s="13">
        <v>3.07</v>
      </c>
      <c r="I69" s="13">
        <v>1</v>
      </c>
      <c r="J69" s="10">
        <f t="shared" si="3"/>
        <v>1.0659237894450841</v>
      </c>
      <c r="K69" s="10">
        <f t="shared" si="4"/>
        <v>-6.5923789445084147E-2</v>
      </c>
      <c r="L69" s="10">
        <f t="shared" si="5"/>
        <v>4.345946014799788E-3</v>
      </c>
    </row>
    <row r="70" spans="1:12" x14ac:dyDescent="0.3">
      <c r="A70" s="1">
        <v>1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2</v>
      </c>
      <c r="H70" s="13">
        <v>20.23</v>
      </c>
      <c r="I70" s="13">
        <v>2.0099999999999998</v>
      </c>
      <c r="J70" s="10">
        <f t="shared" si="3"/>
        <v>2.9112160609563373</v>
      </c>
      <c r="K70" s="10">
        <f t="shared" si="4"/>
        <v>-0.90121606095633755</v>
      </c>
      <c r="L70" s="10">
        <f t="shared" si="5"/>
        <v>0.81219038852565717</v>
      </c>
    </row>
    <row r="71" spans="1:12" x14ac:dyDescent="0.3">
      <c r="A71" s="1">
        <v>1</v>
      </c>
      <c r="B71" s="1">
        <v>1</v>
      </c>
      <c r="C71" s="1">
        <v>0</v>
      </c>
      <c r="D71" s="1">
        <v>0</v>
      </c>
      <c r="E71" s="1">
        <v>0</v>
      </c>
      <c r="F71" s="1">
        <v>1</v>
      </c>
      <c r="G71" s="1">
        <v>2</v>
      </c>
      <c r="H71" s="13">
        <v>15.01</v>
      </c>
      <c r="I71" s="13">
        <v>2.09</v>
      </c>
      <c r="J71" s="10">
        <f t="shared" si="3"/>
        <v>2.3350956988403828</v>
      </c>
      <c r="K71" s="10">
        <f t="shared" si="4"/>
        <v>-0.24509569884038296</v>
      </c>
      <c r="L71" s="10">
        <f t="shared" si="5"/>
        <v>6.0071901590055703E-2</v>
      </c>
    </row>
    <row r="72" spans="1:12" x14ac:dyDescent="0.3">
      <c r="A72" s="1">
        <v>1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2</v>
      </c>
      <c r="H72" s="13">
        <v>12.02</v>
      </c>
      <c r="I72" s="13">
        <v>1.97</v>
      </c>
      <c r="J72" s="10">
        <f t="shared" si="3"/>
        <v>2.1360281183873413</v>
      </c>
      <c r="K72" s="10">
        <f t="shared" si="4"/>
        <v>-0.16602811838734133</v>
      </c>
      <c r="L72" s="10">
        <f t="shared" si="5"/>
        <v>2.7565336095241026E-2</v>
      </c>
    </row>
    <row r="73" spans="1:12" x14ac:dyDescent="0.3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3</v>
      </c>
      <c r="H73" s="13">
        <v>17.07</v>
      </c>
      <c r="I73" s="13">
        <v>3</v>
      </c>
      <c r="J73" s="10">
        <f t="shared" si="3"/>
        <v>2.8232314845498108</v>
      </c>
      <c r="K73" s="10">
        <f t="shared" si="4"/>
        <v>0.17676851545018923</v>
      </c>
      <c r="L73" s="10">
        <f t="shared" si="5"/>
        <v>3.124710805446379E-2</v>
      </c>
    </row>
    <row r="74" spans="1:12" x14ac:dyDescent="0.3">
      <c r="A74" s="1">
        <v>0</v>
      </c>
      <c r="B74" s="1">
        <v>1</v>
      </c>
      <c r="C74" s="1">
        <v>0</v>
      </c>
      <c r="D74" s="1">
        <v>0</v>
      </c>
      <c r="E74" s="1">
        <v>0</v>
      </c>
      <c r="F74" s="1">
        <v>1</v>
      </c>
      <c r="G74" s="1">
        <v>2</v>
      </c>
      <c r="H74" s="13">
        <v>26.86</v>
      </c>
      <c r="I74" s="13">
        <v>3.14</v>
      </c>
      <c r="J74" s="10">
        <f t="shared" si="3"/>
        <v>3.4882648476372191</v>
      </c>
      <c r="K74" s="10">
        <f t="shared" si="4"/>
        <v>-0.34826484763721899</v>
      </c>
      <c r="L74" s="10">
        <f t="shared" si="5"/>
        <v>0.12128840409977536</v>
      </c>
    </row>
    <row r="75" spans="1:12" x14ac:dyDescent="0.3">
      <c r="A75" s="1">
        <v>0</v>
      </c>
      <c r="B75" s="1">
        <v>1</v>
      </c>
      <c r="C75" s="1">
        <v>0</v>
      </c>
      <c r="D75" s="1">
        <v>0</v>
      </c>
      <c r="E75" s="1">
        <v>0</v>
      </c>
      <c r="F75" s="1">
        <v>1</v>
      </c>
      <c r="G75" s="1">
        <v>2</v>
      </c>
      <c r="H75" s="13">
        <v>25.28</v>
      </c>
      <c r="I75" s="13">
        <v>5</v>
      </c>
      <c r="J75" s="10">
        <f t="shared" si="3"/>
        <v>3.3390812971793613</v>
      </c>
      <c r="K75" s="10">
        <f t="shared" si="4"/>
        <v>1.6609187028206387</v>
      </c>
      <c r="L75" s="10">
        <f t="shared" si="5"/>
        <v>2.758650937379393</v>
      </c>
    </row>
    <row r="76" spans="1:12" x14ac:dyDescent="0.3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2</v>
      </c>
      <c r="H76" s="13">
        <v>14.73</v>
      </c>
      <c r="I76" s="13">
        <v>2.2000000000000002</v>
      </c>
      <c r="J76" s="10">
        <f t="shared" si="3"/>
        <v>2.4261987537760632</v>
      </c>
      <c r="K76" s="10">
        <f t="shared" si="4"/>
        <v>-0.22619875377606302</v>
      </c>
      <c r="L76" s="10">
        <f t="shared" si="5"/>
        <v>5.1165876209843988E-2</v>
      </c>
    </row>
    <row r="77" spans="1:12" x14ac:dyDescent="0.3">
      <c r="A77" s="1">
        <v>1</v>
      </c>
      <c r="B77" s="1">
        <v>0</v>
      </c>
      <c r="C77" s="1">
        <v>0</v>
      </c>
      <c r="D77" s="1">
        <v>0</v>
      </c>
      <c r="E77" s="1">
        <v>0</v>
      </c>
      <c r="F77" s="1">
        <v>1</v>
      </c>
      <c r="G77" s="1">
        <v>2</v>
      </c>
      <c r="H77" s="13">
        <v>10.51</v>
      </c>
      <c r="I77" s="13">
        <v>1.25</v>
      </c>
      <c r="J77" s="10">
        <f t="shared" si="3"/>
        <v>1.9934539657345784</v>
      </c>
      <c r="K77" s="10">
        <f t="shared" si="4"/>
        <v>-0.74345396573457845</v>
      </c>
      <c r="L77" s="10">
        <f t="shared" si="5"/>
        <v>0.55272379916647174</v>
      </c>
    </row>
    <row r="78" spans="1:12" x14ac:dyDescent="0.3">
      <c r="A78" s="1">
        <v>1</v>
      </c>
      <c r="B78" s="1">
        <v>1</v>
      </c>
      <c r="C78" s="1">
        <v>0</v>
      </c>
      <c r="D78" s="1">
        <v>0</v>
      </c>
      <c r="E78" s="1">
        <v>0</v>
      </c>
      <c r="F78" s="1">
        <v>1</v>
      </c>
      <c r="G78" s="1">
        <v>2</v>
      </c>
      <c r="H78" s="13">
        <v>17.920000000000002</v>
      </c>
      <c r="I78" s="13">
        <v>3.08</v>
      </c>
      <c r="J78" s="10">
        <f t="shared" si="3"/>
        <v>2.6098578075950454</v>
      </c>
      <c r="K78" s="10">
        <f t="shared" si="4"/>
        <v>0.4701421924049547</v>
      </c>
      <c r="L78" s="10">
        <f t="shared" si="5"/>
        <v>0.22103368107933744</v>
      </c>
    </row>
    <row r="79" spans="1:12" x14ac:dyDescent="0.3">
      <c r="A79" s="1">
        <v>1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4</v>
      </c>
      <c r="H79" s="13">
        <v>27.2</v>
      </c>
      <c r="I79" s="13">
        <v>4</v>
      </c>
      <c r="J79" s="10">
        <f t="shared" si="3"/>
        <v>3.9523419347846058</v>
      </c>
      <c r="K79" s="10">
        <f t="shared" si="4"/>
        <v>4.7658065215394174E-2</v>
      </c>
      <c r="L79" s="10">
        <f t="shared" si="5"/>
        <v>2.2712911800747641E-3</v>
      </c>
    </row>
    <row r="80" spans="1:12" x14ac:dyDescent="0.3">
      <c r="A80" s="1">
        <v>1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2</v>
      </c>
      <c r="H80" s="13">
        <v>22.76</v>
      </c>
      <c r="I80" s="13">
        <v>3</v>
      </c>
      <c r="J80" s="10">
        <f t="shared" si="3"/>
        <v>3.180937265711723</v>
      </c>
      <c r="K80" s="10">
        <f t="shared" si="4"/>
        <v>-0.18093726571172297</v>
      </c>
      <c r="L80" s="10">
        <f t="shared" si="5"/>
        <v>3.2738294123234639E-2</v>
      </c>
    </row>
    <row r="81" spans="1:12" x14ac:dyDescent="0.3">
      <c r="A81" s="1">
        <v>1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2</v>
      </c>
      <c r="H81" s="13">
        <v>17.29</v>
      </c>
      <c r="I81" s="13">
        <v>2.71</v>
      </c>
      <c r="J81" s="10">
        <f t="shared" si="3"/>
        <v>2.6644600372278724</v>
      </c>
      <c r="K81" s="10">
        <f t="shared" si="4"/>
        <v>4.5539962772127573E-2</v>
      </c>
      <c r="L81" s="10">
        <f t="shared" si="5"/>
        <v>2.0738882092867653E-3</v>
      </c>
    </row>
    <row r="82" spans="1:12" x14ac:dyDescent="0.3">
      <c r="A82" s="1">
        <v>1</v>
      </c>
      <c r="B82" s="1">
        <v>1</v>
      </c>
      <c r="C82" s="1">
        <v>0</v>
      </c>
      <c r="D82" s="1">
        <v>1</v>
      </c>
      <c r="E82" s="1">
        <v>0</v>
      </c>
      <c r="F82" s="1">
        <v>0</v>
      </c>
      <c r="G82" s="1">
        <v>2</v>
      </c>
      <c r="H82" s="13">
        <v>19.440000000000001</v>
      </c>
      <c r="I82" s="13">
        <v>3</v>
      </c>
      <c r="J82" s="10">
        <f t="shared" si="3"/>
        <v>2.7842148440197745</v>
      </c>
      <c r="K82" s="10">
        <f t="shared" si="4"/>
        <v>0.21578515598022552</v>
      </c>
      <c r="L82" s="10">
        <f t="shared" si="5"/>
        <v>4.6563233541410259E-2</v>
      </c>
    </row>
    <row r="83" spans="1:12" x14ac:dyDescent="0.3">
      <c r="A83" s="1">
        <v>1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2</v>
      </c>
      <c r="H83" s="13">
        <v>16.66</v>
      </c>
      <c r="I83" s="13">
        <v>3.4</v>
      </c>
      <c r="J83" s="10">
        <f t="shared" si="3"/>
        <v>2.604975456982018</v>
      </c>
      <c r="K83" s="10">
        <f t="shared" si="4"/>
        <v>0.79502454301798187</v>
      </c>
      <c r="L83" s="10">
        <f t="shared" si="5"/>
        <v>0.63206402400095085</v>
      </c>
    </row>
    <row r="84" spans="1:12" x14ac:dyDescent="0.3">
      <c r="A84" s="1">
        <v>0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1</v>
      </c>
      <c r="H84" s="13">
        <v>10.07</v>
      </c>
      <c r="I84" s="13">
        <v>1.83</v>
      </c>
      <c r="J84" s="10">
        <f t="shared" si="3"/>
        <v>1.8409503798332632</v>
      </c>
      <c r="K84" s="10">
        <f t="shared" si="4"/>
        <v>-1.095037983326308E-2</v>
      </c>
      <c r="L84" s="10">
        <f t="shared" si="5"/>
        <v>1.1991081849273475E-4</v>
      </c>
    </row>
    <row r="85" spans="1:12" x14ac:dyDescent="0.3">
      <c r="A85" s="1">
        <v>1</v>
      </c>
      <c r="B85" s="1">
        <v>1</v>
      </c>
      <c r="C85" s="1">
        <v>0</v>
      </c>
      <c r="D85" s="1">
        <v>1</v>
      </c>
      <c r="E85" s="1">
        <v>0</v>
      </c>
      <c r="F85" s="1">
        <v>0</v>
      </c>
      <c r="G85" s="1">
        <v>2</v>
      </c>
      <c r="H85" s="13">
        <v>32.68</v>
      </c>
      <c r="I85" s="13">
        <v>5</v>
      </c>
      <c r="J85" s="10">
        <f t="shared" si="3"/>
        <v>4.0343352288691658</v>
      </c>
      <c r="K85" s="10">
        <f t="shared" si="4"/>
        <v>0.96566477113083415</v>
      </c>
      <c r="L85" s="10">
        <f t="shared" si="5"/>
        <v>0.93250845020316631</v>
      </c>
    </row>
    <row r="86" spans="1:12" x14ac:dyDescent="0.3">
      <c r="A86" s="1">
        <v>1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2</v>
      </c>
      <c r="H86" s="13">
        <v>15.98</v>
      </c>
      <c r="I86" s="13">
        <v>2.0299999999999998</v>
      </c>
      <c r="J86" s="10">
        <f t="shared" si="3"/>
        <v>2.5407698783039523</v>
      </c>
      <c r="K86" s="10">
        <f t="shared" si="4"/>
        <v>-0.51076987830395248</v>
      </c>
      <c r="L86" s="10">
        <f t="shared" si="5"/>
        <v>0.26088586858263441</v>
      </c>
    </row>
    <row r="87" spans="1:12" x14ac:dyDescent="0.3">
      <c r="A87" s="1">
        <v>0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4</v>
      </c>
      <c r="H87" s="13">
        <v>34.83</v>
      </c>
      <c r="I87" s="13">
        <v>5.17</v>
      </c>
      <c r="J87" s="10">
        <f t="shared" si="3"/>
        <v>4.707058815902859</v>
      </c>
      <c r="K87" s="10">
        <f t="shared" si="4"/>
        <v>0.46294118409714091</v>
      </c>
      <c r="L87" s="10">
        <f t="shared" si="5"/>
        <v>0.21431453993326291</v>
      </c>
    </row>
    <row r="88" spans="1:12" x14ac:dyDescent="0.3">
      <c r="A88" s="1">
        <v>1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2</v>
      </c>
      <c r="H88" s="13">
        <v>13.03</v>
      </c>
      <c r="I88" s="13">
        <v>2</v>
      </c>
      <c r="J88" s="10">
        <f t="shared" si="3"/>
        <v>2.2622309708035218</v>
      </c>
      <c r="K88" s="10">
        <f t="shared" si="4"/>
        <v>-0.26223097080352176</v>
      </c>
      <c r="L88" s="10">
        <f t="shared" si="5"/>
        <v>6.8765082048557483E-2</v>
      </c>
    </row>
    <row r="89" spans="1:12" x14ac:dyDescent="0.3">
      <c r="A89" s="1">
        <v>1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2</v>
      </c>
      <c r="H89" s="13">
        <v>18.28</v>
      </c>
      <c r="I89" s="13">
        <v>4</v>
      </c>
      <c r="J89" s="10">
        <f t="shared" si="3"/>
        <v>2.7579358061856443</v>
      </c>
      <c r="K89" s="10">
        <f t="shared" si="4"/>
        <v>1.2420641938143557</v>
      </c>
      <c r="L89" s="10">
        <f t="shared" si="5"/>
        <v>1.5427234615557055</v>
      </c>
    </row>
    <row r="90" spans="1:12" x14ac:dyDescent="0.3">
      <c r="A90" s="1">
        <v>1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2</v>
      </c>
      <c r="H90" s="13">
        <v>24.71</v>
      </c>
      <c r="I90" s="13">
        <v>5.85</v>
      </c>
      <c r="J90" s="10">
        <f t="shared" si="3"/>
        <v>3.3650562045679395</v>
      </c>
      <c r="K90" s="10">
        <f t="shared" si="4"/>
        <v>2.4849437954320601</v>
      </c>
      <c r="L90" s="10">
        <f t="shared" si="5"/>
        <v>6.1749456664562921</v>
      </c>
    </row>
    <row r="91" spans="1:12" x14ac:dyDescent="0.3">
      <c r="A91" s="1">
        <v>1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2</v>
      </c>
      <c r="H91" s="13">
        <v>21.16</v>
      </c>
      <c r="I91" s="13">
        <v>3</v>
      </c>
      <c r="J91" s="10">
        <f t="shared" si="3"/>
        <v>3.0298653158809801</v>
      </c>
      <c r="K91" s="10">
        <f t="shared" si="4"/>
        <v>-2.986531588098007E-2</v>
      </c>
      <c r="L91" s="10">
        <f t="shared" si="5"/>
        <v>8.9193709267072036E-4</v>
      </c>
    </row>
    <row r="92" spans="1:12" x14ac:dyDescent="0.3">
      <c r="A92" s="1">
        <v>1</v>
      </c>
      <c r="B92" s="1">
        <v>1</v>
      </c>
      <c r="C92" s="1">
        <v>0</v>
      </c>
      <c r="D92" s="1">
        <v>0</v>
      </c>
      <c r="E92" s="1">
        <v>1</v>
      </c>
      <c r="F92" s="1">
        <v>1</v>
      </c>
      <c r="G92" s="1">
        <v>2</v>
      </c>
      <c r="H92" s="13">
        <v>28.97</v>
      </c>
      <c r="I92" s="13">
        <v>3</v>
      </c>
      <c r="J92" s="10">
        <f t="shared" si="3"/>
        <v>3.7733221006128819</v>
      </c>
      <c r="K92" s="10">
        <f t="shared" si="4"/>
        <v>-0.77332210061288187</v>
      </c>
      <c r="L92" s="10">
        <f t="shared" si="5"/>
        <v>0.59802707129632016</v>
      </c>
    </row>
    <row r="93" spans="1:12" x14ac:dyDescent="0.3">
      <c r="A93" s="1">
        <v>1</v>
      </c>
      <c r="B93" s="1">
        <v>0</v>
      </c>
      <c r="C93" s="1">
        <v>0</v>
      </c>
      <c r="D93" s="1">
        <v>0</v>
      </c>
      <c r="E93" s="1">
        <v>1</v>
      </c>
      <c r="F93" s="1">
        <v>1</v>
      </c>
      <c r="G93" s="1">
        <v>2</v>
      </c>
      <c r="H93" s="13">
        <v>22.49</v>
      </c>
      <c r="I93" s="13">
        <v>3.5</v>
      </c>
      <c r="J93" s="10">
        <f t="shared" si="3"/>
        <v>3.2447288295915344</v>
      </c>
      <c r="K93" s="10">
        <f t="shared" si="4"/>
        <v>0.25527117040846559</v>
      </c>
      <c r="L93" s="10">
        <f t="shared" si="5"/>
        <v>6.5163370441707877E-2</v>
      </c>
    </row>
    <row r="94" spans="1:12" x14ac:dyDescent="0.3">
      <c r="A94" s="1">
        <v>0</v>
      </c>
      <c r="B94" s="1">
        <v>1</v>
      </c>
      <c r="C94" s="1">
        <v>0</v>
      </c>
      <c r="D94" s="1">
        <v>0</v>
      </c>
      <c r="E94" s="1">
        <v>1</v>
      </c>
      <c r="F94" s="1">
        <v>1</v>
      </c>
      <c r="G94" s="1">
        <v>2</v>
      </c>
      <c r="H94" s="13">
        <v>5.75</v>
      </c>
      <c r="I94" s="13">
        <v>1</v>
      </c>
      <c r="J94" s="10">
        <f t="shared" si="3"/>
        <v>1.6151829490571383</v>
      </c>
      <c r="K94" s="10">
        <f t="shared" si="4"/>
        <v>-0.61518294905713833</v>
      </c>
      <c r="L94" s="10">
        <f t="shared" si="5"/>
        <v>0.37845006081063765</v>
      </c>
    </row>
    <row r="95" spans="1:12" x14ac:dyDescent="0.3">
      <c r="A95" s="1">
        <v>0</v>
      </c>
      <c r="B95" s="1">
        <v>1</v>
      </c>
      <c r="C95" s="1">
        <v>0</v>
      </c>
      <c r="D95" s="1">
        <v>0</v>
      </c>
      <c r="E95" s="1">
        <v>1</v>
      </c>
      <c r="F95" s="1">
        <v>1</v>
      </c>
      <c r="G95" s="1">
        <v>2</v>
      </c>
      <c r="H95" s="13">
        <v>16.32</v>
      </c>
      <c r="I95" s="13">
        <v>4.3</v>
      </c>
      <c r="J95" s="10">
        <f t="shared" si="3"/>
        <v>2.6132020176264787</v>
      </c>
      <c r="K95" s="10">
        <f t="shared" si="4"/>
        <v>1.6867979823735211</v>
      </c>
      <c r="L95" s="10">
        <f t="shared" si="5"/>
        <v>2.8452874333393816</v>
      </c>
    </row>
    <row r="96" spans="1:12" x14ac:dyDescent="0.3">
      <c r="A96" s="1">
        <v>0</v>
      </c>
      <c r="B96" s="1">
        <v>0</v>
      </c>
      <c r="C96" s="1">
        <v>0</v>
      </c>
      <c r="D96" s="1">
        <v>0</v>
      </c>
      <c r="E96" s="1">
        <v>1</v>
      </c>
      <c r="F96" s="1">
        <v>1</v>
      </c>
      <c r="G96" s="1">
        <v>2</v>
      </c>
      <c r="H96" s="13">
        <v>22.75</v>
      </c>
      <c r="I96" s="13">
        <v>3.25</v>
      </c>
      <c r="J96" s="10">
        <f t="shared" si="3"/>
        <v>3.3035705418019319</v>
      </c>
      <c r="K96" s="10">
        <f t="shared" si="4"/>
        <v>-5.3570541801931881E-2</v>
      </c>
      <c r="L96" s="10">
        <f t="shared" si="5"/>
        <v>2.869802948952531E-3</v>
      </c>
    </row>
    <row r="97" spans="1:12" x14ac:dyDescent="0.3">
      <c r="A97" s="1">
        <v>1</v>
      </c>
      <c r="B97" s="1">
        <v>1</v>
      </c>
      <c r="C97" s="1">
        <v>0</v>
      </c>
      <c r="D97" s="1">
        <v>0</v>
      </c>
      <c r="E97" s="1">
        <v>1</v>
      </c>
      <c r="F97" s="1">
        <v>1</v>
      </c>
      <c r="G97" s="1">
        <v>4</v>
      </c>
      <c r="H97" s="13">
        <v>40.17</v>
      </c>
      <c r="I97" s="13">
        <v>4.7300000000000004</v>
      </c>
      <c r="J97" s="10">
        <f t="shared" si="3"/>
        <v>5.1830057577206521</v>
      </c>
      <c r="K97" s="10">
        <f t="shared" si="4"/>
        <v>-0.45300575772065166</v>
      </c>
      <c r="L97" s="10">
        <f t="shared" si="5"/>
        <v>0.20521421652806174</v>
      </c>
    </row>
    <row r="98" spans="1:12" x14ac:dyDescent="0.3">
      <c r="A98" s="1">
        <v>1</v>
      </c>
      <c r="B98" s="1">
        <v>1</v>
      </c>
      <c r="C98" s="1">
        <v>0</v>
      </c>
      <c r="D98" s="1">
        <v>0</v>
      </c>
      <c r="E98" s="1">
        <v>1</v>
      </c>
      <c r="F98" s="1">
        <v>1</v>
      </c>
      <c r="G98" s="1">
        <v>2</v>
      </c>
      <c r="H98" s="13">
        <v>27.28</v>
      </c>
      <c r="I98" s="13">
        <v>4</v>
      </c>
      <c r="J98" s="10">
        <f t="shared" si="3"/>
        <v>3.6137523536041609</v>
      </c>
      <c r="K98" s="10">
        <f t="shared" si="4"/>
        <v>0.38624764639583908</v>
      </c>
      <c r="L98" s="10">
        <f t="shared" si="5"/>
        <v>0.14918724434632513</v>
      </c>
    </row>
    <row r="99" spans="1:12" x14ac:dyDescent="0.3">
      <c r="A99" s="1">
        <v>1</v>
      </c>
      <c r="B99" s="1">
        <v>1</v>
      </c>
      <c r="C99" s="1">
        <v>0</v>
      </c>
      <c r="D99" s="1">
        <v>0</v>
      </c>
      <c r="E99" s="1">
        <v>1</v>
      </c>
      <c r="F99" s="1">
        <v>1</v>
      </c>
      <c r="G99" s="1">
        <v>2</v>
      </c>
      <c r="H99" s="13">
        <v>12.03</v>
      </c>
      <c r="I99" s="13">
        <v>1.5</v>
      </c>
      <c r="J99" s="10">
        <f t="shared" si="3"/>
        <v>2.1738478317798995</v>
      </c>
      <c r="K99" s="10">
        <f t="shared" si="4"/>
        <v>-0.67384783177989949</v>
      </c>
      <c r="L99" s="10">
        <f t="shared" si="5"/>
        <v>0.45407090039447173</v>
      </c>
    </row>
    <row r="100" spans="1:12" x14ac:dyDescent="0.3">
      <c r="A100" s="1">
        <v>1</v>
      </c>
      <c r="B100" s="1">
        <v>1</v>
      </c>
      <c r="C100" s="1">
        <v>0</v>
      </c>
      <c r="D100" s="1">
        <v>0</v>
      </c>
      <c r="E100" s="1">
        <v>1</v>
      </c>
      <c r="F100" s="1">
        <v>1</v>
      </c>
      <c r="G100" s="1">
        <v>2</v>
      </c>
      <c r="H100" s="13">
        <v>21.01</v>
      </c>
      <c r="I100" s="13">
        <v>3</v>
      </c>
      <c r="J100" s="10">
        <f t="shared" si="3"/>
        <v>3.0217391502049402</v>
      </c>
      <c r="K100" s="10">
        <f t="shared" si="4"/>
        <v>-2.1739150204940216E-2</v>
      </c>
      <c r="L100" s="10">
        <f t="shared" si="5"/>
        <v>4.7259065163295224E-4</v>
      </c>
    </row>
    <row r="101" spans="1:12" x14ac:dyDescent="0.3">
      <c r="A101" s="1">
        <v>1</v>
      </c>
      <c r="B101" s="1">
        <v>0</v>
      </c>
      <c r="C101" s="1">
        <v>0</v>
      </c>
      <c r="D101" s="1">
        <v>0</v>
      </c>
      <c r="E101" s="1">
        <v>1</v>
      </c>
      <c r="F101" s="1">
        <v>1</v>
      </c>
      <c r="G101" s="1">
        <v>2</v>
      </c>
      <c r="H101" s="13">
        <v>12.46</v>
      </c>
      <c r="I101" s="13">
        <v>1.5</v>
      </c>
      <c r="J101" s="10">
        <f t="shared" si="3"/>
        <v>2.2976965440900692</v>
      </c>
      <c r="K101" s="10">
        <f t="shared" si="4"/>
        <v>-0.79769654409006918</v>
      </c>
      <c r="L101" s="10">
        <f t="shared" si="5"/>
        <v>0.63631977645323967</v>
      </c>
    </row>
    <row r="102" spans="1:12" x14ac:dyDescent="0.3">
      <c r="A102" s="1">
        <v>0</v>
      </c>
      <c r="B102" s="1">
        <v>1</v>
      </c>
      <c r="C102" s="1">
        <v>0</v>
      </c>
      <c r="D102" s="1">
        <v>0</v>
      </c>
      <c r="E102" s="1">
        <v>1</v>
      </c>
      <c r="F102" s="1">
        <v>1</v>
      </c>
      <c r="G102" s="1">
        <v>2</v>
      </c>
      <c r="H102" s="13">
        <v>11.35</v>
      </c>
      <c r="I102" s="13">
        <v>2.5</v>
      </c>
      <c r="J102" s="10">
        <f t="shared" si="3"/>
        <v>2.1439347734647356</v>
      </c>
      <c r="K102" s="10">
        <f t="shared" si="4"/>
        <v>0.3560652265352644</v>
      </c>
      <c r="L102" s="10">
        <f t="shared" si="5"/>
        <v>0.12678244554760915</v>
      </c>
    </row>
    <row r="103" spans="1:12" x14ac:dyDescent="0.3">
      <c r="A103" s="1">
        <v>0</v>
      </c>
      <c r="B103" s="1">
        <v>1</v>
      </c>
      <c r="C103" s="1">
        <v>0</v>
      </c>
      <c r="D103" s="1">
        <v>0</v>
      </c>
      <c r="E103" s="1">
        <v>1</v>
      </c>
      <c r="F103" s="1">
        <v>1</v>
      </c>
      <c r="G103" s="1">
        <v>2</v>
      </c>
      <c r="H103" s="13">
        <v>15.38</v>
      </c>
      <c r="I103" s="13">
        <v>3</v>
      </c>
      <c r="J103" s="10">
        <f t="shared" si="3"/>
        <v>2.5244472471009178</v>
      </c>
      <c r="K103" s="10">
        <f t="shared" si="4"/>
        <v>0.47555275289908217</v>
      </c>
      <c r="L103" s="10">
        <f t="shared" si="5"/>
        <v>0.2261504207898955</v>
      </c>
    </row>
    <row r="104" spans="1:12" x14ac:dyDescent="0.3">
      <c r="A104" s="1">
        <v>0</v>
      </c>
      <c r="B104" s="1">
        <v>1</v>
      </c>
      <c r="C104" s="1">
        <v>0</v>
      </c>
      <c r="D104" s="1">
        <v>0</v>
      </c>
      <c r="E104" s="1">
        <v>0</v>
      </c>
      <c r="F104" s="1">
        <v>1</v>
      </c>
      <c r="G104" s="1">
        <v>3</v>
      </c>
      <c r="H104" s="13">
        <v>44.3</v>
      </c>
      <c r="I104" s="13">
        <v>2.5</v>
      </c>
      <c r="J104" s="10">
        <f t="shared" si="3"/>
        <v>5.3110391049385957</v>
      </c>
      <c r="K104" s="10">
        <f t="shared" si="4"/>
        <v>-2.8110391049385957</v>
      </c>
      <c r="L104" s="10">
        <f t="shared" si="5"/>
        <v>7.9019408494939807</v>
      </c>
    </row>
    <row r="105" spans="1:12" x14ac:dyDescent="0.3">
      <c r="A105" s="1">
        <v>0</v>
      </c>
      <c r="B105" s="1">
        <v>1</v>
      </c>
      <c r="C105" s="1">
        <v>0</v>
      </c>
      <c r="D105" s="1">
        <v>0</v>
      </c>
      <c r="E105" s="1">
        <v>0</v>
      </c>
      <c r="F105" s="1">
        <v>1</v>
      </c>
      <c r="G105" s="1">
        <v>2</v>
      </c>
      <c r="H105" s="13">
        <v>22.42</v>
      </c>
      <c r="I105" s="13">
        <v>3.48</v>
      </c>
      <c r="J105" s="10">
        <f t="shared" si="3"/>
        <v>3.0690401868569097</v>
      </c>
      <c r="K105" s="10">
        <f t="shared" si="4"/>
        <v>0.41095981314309027</v>
      </c>
      <c r="L105" s="10">
        <f t="shared" si="5"/>
        <v>0.16888796801860367</v>
      </c>
    </row>
    <row r="106" spans="1:12" x14ac:dyDescent="0.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2</v>
      </c>
      <c r="H106" s="13">
        <v>20.92</v>
      </c>
      <c r="I106" s="13">
        <v>4.08</v>
      </c>
      <c r="J106" s="10">
        <f t="shared" si="3"/>
        <v>3.0106583596837471</v>
      </c>
      <c r="K106" s="10">
        <f t="shared" si="4"/>
        <v>1.069341640316253</v>
      </c>
      <c r="L106" s="10">
        <f t="shared" si="5"/>
        <v>1.1434915437142545</v>
      </c>
    </row>
    <row r="107" spans="1:12" x14ac:dyDescent="0.3">
      <c r="A107" s="1">
        <v>1</v>
      </c>
      <c r="B107" s="1">
        <v>1</v>
      </c>
      <c r="C107" s="1">
        <v>0</v>
      </c>
      <c r="D107" s="1">
        <v>0</v>
      </c>
      <c r="E107" s="1">
        <v>0</v>
      </c>
      <c r="F107" s="1">
        <v>1</v>
      </c>
      <c r="G107" s="1">
        <v>2</v>
      </c>
      <c r="H107" s="13">
        <v>15.36</v>
      </c>
      <c r="I107" s="13">
        <v>1.64</v>
      </c>
      <c r="J107" s="10">
        <f t="shared" si="3"/>
        <v>2.3681426878658578</v>
      </c>
      <c r="K107" s="10">
        <f t="shared" si="4"/>
        <v>-0.7281426878658579</v>
      </c>
      <c r="L107" s="10">
        <f t="shared" si="5"/>
        <v>0.53019177389251615</v>
      </c>
    </row>
    <row r="108" spans="1:12" x14ac:dyDescent="0.3">
      <c r="A108" s="1">
        <v>1</v>
      </c>
      <c r="B108" s="1">
        <v>1</v>
      </c>
      <c r="C108" s="1">
        <v>0</v>
      </c>
      <c r="D108" s="1">
        <v>0</v>
      </c>
      <c r="E108" s="1">
        <v>0</v>
      </c>
      <c r="F108" s="1">
        <v>1</v>
      </c>
      <c r="G108" s="1">
        <v>2</v>
      </c>
      <c r="H108" s="13">
        <v>20.49</v>
      </c>
      <c r="I108" s="13">
        <v>4.0599999999999996</v>
      </c>
      <c r="J108" s="10">
        <f t="shared" si="3"/>
        <v>2.8525171270106746</v>
      </c>
      <c r="K108" s="10">
        <f t="shared" si="4"/>
        <v>1.207482872989325</v>
      </c>
      <c r="L108" s="10">
        <f t="shared" si="5"/>
        <v>1.4580148885625543</v>
      </c>
    </row>
    <row r="109" spans="1:12" x14ac:dyDescent="0.3">
      <c r="A109" s="1">
        <v>1</v>
      </c>
      <c r="B109" s="1">
        <v>1</v>
      </c>
      <c r="C109" s="1">
        <v>0</v>
      </c>
      <c r="D109" s="1">
        <v>0</v>
      </c>
      <c r="E109" s="1">
        <v>0</v>
      </c>
      <c r="F109" s="1">
        <v>1</v>
      </c>
      <c r="G109" s="1">
        <v>2</v>
      </c>
      <c r="H109" s="13">
        <v>25.21</v>
      </c>
      <c r="I109" s="13">
        <v>4.29</v>
      </c>
      <c r="J109" s="10">
        <f t="shared" si="3"/>
        <v>3.2981793790113647</v>
      </c>
      <c r="K109" s="10">
        <f t="shared" si="4"/>
        <v>0.99182062098863533</v>
      </c>
      <c r="L109" s="10">
        <f t="shared" si="5"/>
        <v>0.98370814421828223</v>
      </c>
    </row>
    <row r="110" spans="1:12" x14ac:dyDescent="0.3">
      <c r="A110" s="1">
        <v>1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2</v>
      </c>
      <c r="H110" s="13">
        <v>18.239999999999998</v>
      </c>
      <c r="I110" s="13">
        <v>3.76</v>
      </c>
      <c r="J110" s="10">
        <f t="shared" si="3"/>
        <v>2.7233203233543515</v>
      </c>
      <c r="K110" s="10">
        <f t="shared" si="4"/>
        <v>1.0366796766456483</v>
      </c>
      <c r="L110" s="10">
        <f t="shared" si="5"/>
        <v>1.0747047519701258</v>
      </c>
    </row>
    <row r="111" spans="1:12" x14ac:dyDescent="0.3">
      <c r="A111" s="1">
        <v>0</v>
      </c>
      <c r="B111" s="1">
        <v>1</v>
      </c>
      <c r="C111" s="1">
        <v>0</v>
      </c>
      <c r="D111" s="1">
        <v>0</v>
      </c>
      <c r="E111" s="1">
        <v>0</v>
      </c>
      <c r="F111" s="1">
        <v>1</v>
      </c>
      <c r="G111" s="1">
        <v>2</v>
      </c>
      <c r="H111" s="13">
        <v>14.31</v>
      </c>
      <c r="I111" s="13">
        <v>4</v>
      </c>
      <c r="J111" s="10">
        <f t="shared" si="3"/>
        <v>2.3032942411523347</v>
      </c>
      <c r="K111" s="10">
        <f t="shared" si="4"/>
        <v>1.6967057588476653</v>
      </c>
      <c r="L111" s="10">
        <f t="shared" si="5"/>
        <v>2.8788104321068317</v>
      </c>
    </row>
    <row r="112" spans="1:12" x14ac:dyDescent="0.3">
      <c r="A112" s="1">
        <v>1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2</v>
      </c>
      <c r="H112" s="13">
        <v>14</v>
      </c>
      <c r="I112" s="13">
        <v>3</v>
      </c>
      <c r="J112" s="10">
        <f t="shared" si="3"/>
        <v>2.3229796563028851</v>
      </c>
      <c r="K112" s="10">
        <f t="shared" si="4"/>
        <v>0.67702034369711495</v>
      </c>
      <c r="L112" s="10">
        <f t="shared" si="5"/>
        <v>0.45835654577975965</v>
      </c>
    </row>
    <row r="113" spans="1:12" x14ac:dyDescent="0.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1</v>
      </c>
      <c r="H113" s="13">
        <v>7.25</v>
      </c>
      <c r="I113" s="13">
        <v>1</v>
      </c>
      <c r="J113" s="10">
        <f t="shared" si="3"/>
        <v>1.543847384171056</v>
      </c>
      <c r="K113" s="10">
        <f t="shared" si="4"/>
        <v>-0.54384738417105605</v>
      </c>
      <c r="L113" s="10">
        <f t="shared" si="5"/>
        <v>0.29576997726970022</v>
      </c>
    </row>
    <row r="114" spans="1:12" x14ac:dyDescent="0.3">
      <c r="A114" s="1">
        <v>1</v>
      </c>
      <c r="B114" s="1">
        <v>0</v>
      </c>
      <c r="C114" s="1">
        <v>1</v>
      </c>
      <c r="D114" s="1">
        <v>0</v>
      </c>
      <c r="E114" s="1">
        <v>0</v>
      </c>
      <c r="F114" s="1">
        <v>1</v>
      </c>
      <c r="G114" s="1">
        <v>3</v>
      </c>
      <c r="H114" s="13">
        <v>38.07</v>
      </c>
      <c r="I114" s="13">
        <v>4</v>
      </c>
      <c r="J114" s="10">
        <f t="shared" si="3"/>
        <v>4.8686620601559341</v>
      </c>
      <c r="K114" s="10">
        <f t="shared" si="4"/>
        <v>-0.86866206015593406</v>
      </c>
      <c r="L114" s="10">
        <f t="shared" si="5"/>
        <v>0.75457377475435161</v>
      </c>
    </row>
    <row r="115" spans="1:12" x14ac:dyDescent="0.3">
      <c r="A115" s="1">
        <v>1</v>
      </c>
      <c r="B115" s="1">
        <v>0</v>
      </c>
      <c r="C115" s="1">
        <v>1</v>
      </c>
      <c r="D115" s="1">
        <v>0</v>
      </c>
      <c r="E115" s="1">
        <v>0</v>
      </c>
      <c r="F115" s="1">
        <v>1</v>
      </c>
      <c r="G115" s="1">
        <v>2</v>
      </c>
      <c r="H115" s="13">
        <v>23.95</v>
      </c>
      <c r="I115" s="13">
        <v>2.5499999999999998</v>
      </c>
      <c r="J115" s="10">
        <f t="shared" si="3"/>
        <v>3.3593620987533468</v>
      </c>
      <c r="K115" s="10">
        <f t="shared" si="4"/>
        <v>-0.80936209875334697</v>
      </c>
      <c r="L115" s="10">
        <f t="shared" si="5"/>
        <v>0.65506700689842257</v>
      </c>
    </row>
    <row r="116" spans="1:12" x14ac:dyDescent="0.3">
      <c r="A116" s="1">
        <v>0</v>
      </c>
      <c r="B116" s="1">
        <v>0</v>
      </c>
      <c r="C116" s="1">
        <v>1</v>
      </c>
      <c r="D116" s="1">
        <v>0</v>
      </c>
      <c r="E116" s="1">
        <v>0</v>
      </c>
      <c r="F116" s="1">
        <v>1</v>
      </c>
      <c r="G116" s="1">
        <v>3</v>
      </c>
      <c r="H116" s="13">
        <v>25.71</v>
      </c>
      <c r="I116" s="13">
        <v>4</v>
      </c>
      <c r="J116" s="10">
        <f t="shared" si="3"/>
        <v>3.7359237680763524</v>
      </c>
      <c r="K116" s="10">
        <f t="shared" si="4"/>
        <v>0.2640762319236476</v>
      </c>
      <c r="L116" s="10">
        <f t="shared" si="5"/>
        <v>6.9736256266992119E-2</v>
      </c>
    </row>
    <row r="117" spans="1:12" x14ac:dyDescent="0.3">
      <c r="A117" s="1">
        <v>0</v>
      </c>
      <c r="B117" s="1">
        <v>0</v>
      </c>
      <c r="C117" s="1">
        <v>1</v>
      </c>
      <c r="D117" s="1">
        <v>0</v>
      </c>
      <c r="E117" s="1">
        <v>0</v>
      </c>
      <c r="F117" s="1">
        <v>1</v>
      </c>
      <c r="G117" s="1">
        <v>2</v>
      </c>
      <c r="H117" s="13">
        <v>17.309999999999999</v>
      </c>
      <c r="I117" s="13">
        <v>3.5</v>
      </c>
      <c r="J117" s="10">
        <f t="shared" si="3"/>
        <v>2.7667060273186692</v>
      </c>
      <c r="K117" s="10">
        <f t="shared" si="4"/>
        <v>0.73329397268133079</v>
      </c>
      <c r="L117" s="10">
        <f t="shared" si="5"/>
        <v>0.53772005037076831</v>
      </c>
    </row>
    <row r="118" spans="1:12" x14ac:dyDescent="0.3">
      <c r="A118" s="1">
        <v>1</v>
      </c>
      <c r="B118" s="1">
        <v>0</v>
      </c>
      <c r="C118" s="1">
        <v>1</v>
      </c>
      <c r="D118" s="1">
        <v>0</v>
      </c>
      <c r="E118" s="1">
        <v>0</v>
      </c>
      <c r="F118" s="1">
        <v>1</v>
      </c>
      <c r="G118" s="1">
        <v>4</v>
      </c>
      <c r="H118" s="13">
        <v>29.93</v>
      </c>
      <c r="I118" s="13">
        <v>5.07</v>
      </c>
      <c r="J118" s="10">
        <f t="shared" si="3"/>
        <v>4.2761735195383199</v>
      </c>
      <c r="K118" s="10">
        <f t="shared" si="4"/>
        <v>0.79382648046168036</v>
      </c>
      <c r="L118" s="10">
        <f t="shared" si="5"/>
        <v>0.63016048108217859</v>
      </c>
    </row>
    <row r="119" spans="1:12" x14ac:dyDescent="0.3">
      <c r="A119" s="1">
        <v>0</v>
      </c>
      <c r="B119" s="1">
        <v>0</v>
      </c>
      <c r="C119" s="1">
        <v>0</v>
      </c>
      <c r="D119" s="1">
        <v>1</v>
      </c>
      <c r="E119" s="1">
        <v>0</v>
      </c>
      <c r="F119" s="1">
        <v>0</v>
      </c>
      <c r="G119" s="1">
        <v>2</v>
      </c>
      <c r="H119" s="13">
        <v>10.65</v>
      </c>
      <c r="I119" s="13">
        <v>1.5</v>
      </c>
      <c r="J119" s="10">
        <f t="shared" si="3"/>
        <v>2.0718039657931948</v>
      </c>
      <c r="K119" s="10">
        <f t="shared" si="4"/>
        <v>-0.57180396579319481</v>
      </c>
      <c r="L119" s="10">
        <f t="shared" si="5"/>
        <v>0.32695977529682513</v>
      </c>
    </row>
    <row r="120" spans="1:12" x14ac:dyDescent="0.3">
      <c r="A120" s="1">
        <v>0</v>
      </c>
      <c r="B120" s="1">
        <v>0</v>
      </c>
      <c r="C120" s="1">
        <v>0</v>
      </c>
      <c r="D120" s="1">
        <v>1</v>
      </c>
      <c r="E120" s="1">
        <v>0</v>
      </c>
      <c r="F120" s="1">
        <v>0</v>
      </c>
      <c r="G120" s="1">
        <v>2</v>
      </c>
      <c r="H120" s="13">
        <v>12.43</v>
      </c>
      <c r="I120" s="13">
        <v>1.8</v>
      </c>
      <c r="J120" s="10">
        <f t="shared" si="3"/>
        <v>2.2398715099798947</v>
      </c>
      <c r="K120" s="10">
        <f t="shared" si="4"/>
        <v>-0.43987150997989466</v>
      </c>
      <c r="L120" s="10">
        <f t="shared" si="5"/>
        <v>0.19348694529199256</v>
      </c>
    </row>
    <row r="121" spans="1:12" x14ac:dyDescent="0.3">
      <c r="A121" s="1">
        <v>0</v>
      </c>
      <c r="B121" s="1">
        <v>0</v>
      </c>
      <c r="C121" s="1">
        <v>0</v>
      </c>
      <c r="D121" s="1">
        <v>1</v>
      </c>
      <c r="E121" s="1">
        <v>0</v>
      </c>
      <c r="F121" s="1">
        <v>0</v>
      </c>
      <c r="G121" s="1">
        <v>4</v>
      </c>
      <c r="H121" s="13">
        <v>24.08</v>
      </c>
      <c r="I121" s="13">
        <v>2.92</v>
      </c>
      <c r="J121" s="10">
        <f t="shared" si="3"/>
        <v>3.6920441529775605</v>
      </c>
      <c r="K121" s="10">
        <f t="shared" si="4"/>
        <v>-0.77204415297756057</v>
      </c>
      <c r="L121" s="10">
        <f t="shared" si="5"/>
        <v>0.59605217414683898</v>
      </c>
    </row>
    <row r="122" spans="1:12" x14ac:dyDescent="0.3">
      <c r="A122" s="1">
        <v>1</v>
      </c>
      <c r="B122" s="1">
        <v>0</v>
      </c>
      <c r="C122" s="1">
        <v>0</v>
      </c>
      <c r="D122" s="1">
        <v>1</v>
      </c>
      <c r="E122" s="1">
        <v>0</v>
      </c>
      <c r="F122" s="1">
        <v>0</v>
      </c>
      <c r="G122" s="1">
        <v>2</v>
      </c>
      <c r="H122" s="13">
        <v>11.69</v>
      </c>
      <c r="I122" s="13">
        <v>2.31</v>
      </c>
      <c r="J122" s="10">
        <f t="shared" si="3"/>
        <v>2.1357082128202749</v>
      </c>
      <c r="K122" s="10">
        <f t="shared" si="4"/>
        <v>0.17429178717972515</v>
      </c>
      <c r="L122" s="10">
        <f t="shared" si="5"/>
        <v>3.0377627078302605E-2</v>
      </c>
    </row>
    <row r="123" spans="1:12" x14ac:dyDescent="0.3">
      <c r="A123" s="1">
        <v>0</v>
      </c>
      <c r="B123" s="1">
        <v>0</v>
      </c>
      <c r="C123" s="1">
        <v>0</v>
      </c>
      <c r="D123" s="1">
        <v>1</v>
      </c>
      <c r="E123" s="1">
        <v>0</v>
      </c>
      <c r="F123" s="1">
        <v>0</v>
      </c>
      <c r="G123" s="1">
        <v>2</v>
      </c>
      <c r="H123" s="13">
        <v>13.42</v>
      </c>
      <c r="I123" s="13">
        <v>1.68</v>
      </c>
      <c r="J123" s="10">
        <f t="shared" si="3"/>
        <v>2.3333472789376666</v>
      </c>
      <c r="K123" s="10">
        <f t="shared" si="4"/>
        <v>-0.65334727893766664</v>
      </c>
      <c r="L123" s="10">
        <f t="shared" si="5"/>
        <v>0.42686266689525321</v>
      </c>
    </row>
    <row r="124" spans="1:12" x14ac:dyDescent="0.3">
      <c r="A124" s="1">
        <v>1</v>
      </c>
      <c r="B124" s="1">
        <v>0</v>
      </c>
      <c r="C124" s="1">
        <v>0</v>
      </c>
      <c r="D124" s="1">
        <v>1</v>
      </c>
      <c r="E124" s="1">
        <v>0</v>
      </c>
      <c r="F124" s="1">
        <v>0</v>
      </c>
      <c r="G124" s="1">
        <v>2</v>
      </c>
      <c r="H124" s="13">
        <v>14.26</v>
      </c>
      <c r="I124" s="13">
        <v>2.5</v>
      </c>
      <c r="J124" s="10">
        <f t="shared" si="3"/>
        <v>2.3783675322359046</v>
      </c>
      <c r="K124" s="10">
        <f t="shared" si="4"/>
        <v>0.12163246776409542</v>
      </c>
      <c r="L124" s="10">
        <f t="shared" si="5"/>
        <v>1.4794457214383711E-2</v>
      </c>
    </row>
    <row r="125" spans="1:12" x14ac:dyDescent="0.3">
      <c r="A125" s="1">
        <v>1</v>
      </c>
      <c r="B125" s="1">
        <v>0</v>
      </c>
      <c r="C125" s="1">
        <v>0</v>
      </c>
      <c r="D125" s="1">
        <v>1</v>
      </c>
      <c r="E125" s="1">
        <v>0</v>
      </c>
      <c r="F125" s="1">
        <v>0</v>
      </c>
      <c r="G125" s="1">
        <v>2</v>
      </c>
      <c r="H125" s="13">
        <v>15.95</v>
      </c>
      <c r="I125" s="13">
        <v>2</v>
      </c>
      <c r="J125" s="10">
        <f t="shared" si="3"/>
        <v>2.537937279244626</v>
      </c>
      <c r="K125" s="10">
        <f t="shared" si="4"/>
        <v>-0.53793727924462598</v>
      </c>
      <c r="L125" s="10">
        <f t="shared" si="5"/>
        <v>0.28937651640111073</v>
      </c>
    </row>
    <row r="126" spans="1:12" x14ac:dyDescent="0.3">
      <c r="A126" s="1">
        <v>0</v>
      </c>
      <c r="B126" s="1">
        <v>0</v>
      </c>
      <c r="C126" s="1">
        <v>0</v>
      </c>
      <c r="D126" s="1">
        <v>1</v>
      </c>
      <c r="E126" s="1">
        <v>0</v>
      </c>
      <c r="F126" s="1">
        <v>0</v>
      </c>
      <c r="G126" s="1">
        <v>2</v>
      </c>
      <c r="H126" s="13">
        <v>12.48</v>
      </c>
      <c r="I126" s="13">
        <v>2.52</v>
      </c>
      <c r="J126" s="10">
        <f t="shared" si="3"/>
        <v>2.2445925084121061</v>
      </c>
      <c r="K126" s="10">
        <f t="shared" si="4"/>
        <v>0.2754074915878939</v>
      </c>
      <c r="L126" s="10">
        <f t="shared" si="5"/>
        <v>7.5849286422735848E-2</v>
      </c>
    </row>
    <row r="127" spans="1:12" x14ac:dyDescent="0.3">
      <c r="A127" s="1">
        <v>0</v>
      </c>
      <c r="B127" s="1">
        <v>0</v>
      </c>
      <c r="C127" s="1">
        <v>0</v>
      </c>
      <c r="D127" s="1">
        <v>1</v>
      </c>
      <c r="E127" s="1">
        <v>0</v>
      </c>
      <c r="F127" s="1">
        <v>0</v>
      </c>
      <c r="G127" s="1">
        <v>6</v>
      </c>
      <c r="H127" s="13">
        <v>29.8</v>
      </c>
      <c r="I127" s="13">
        <v>4.2</v>
      </c>
      <c r="J127" s="10">
        <f t="shared" si="3"/>
        <v>4.584306381915038</v>
      </c>
      <c r="K127" s="10">
        <f t="shared" si="4"/>
        <v>-0.38430638191503785</v>
      </c>
      <c r="L127" s="10">
        <f t="shared" si="5"/>
        <v>0.14769139518062693</v>
      </c>
    </row>
    <row r="128" spans="1:12" x14ac:dyDescent="0.3">
      <c r="A128" s="1">
        <v>1</v>
      </c>
      <c r="B128" s="1">
        <v>0</v>
      </c>
      <c r="C128" s="1">
        <v>0</v>
      </c>
      <c r="D128" s="1">
        <v>1</v>
      </c>
      <c r="E128" s="1">
        <v>0</v>
      </c>
      <c r="F128" s="1">
        <v>0</v>
      </c>
      <c r="G128" s="1">
        <v>2</v>
      </c>
      <c r="H128" s="13">
        <v>8.52</v>
      </c>
      <c r="I128" s="13">
        <v>1.48</v>
      </c>
      <c r="J128" s="10">
        <f t="shared" si="3"/>
        <v>1.836396912218117</v>
      </c>
      <c r="K128" s="10">
        <f t="shared" si="4"/>
        <v>-0.35639691221811698</v>
      </c>
      <c r="L128" s="10">
        <f t="shared" si="5"/>
        <v>0.12701875903860818</v>
      </c>
    </row>
    <row r="129" spans="1:12" x14ac:dyDescent="0.3">
      <c r="A129" s="1">
        <v>0</v>
      </c>
      <c r="B129" s="1">
        <v>0</v>
      </c>
      <c r="C129" s="1">
        <v>0</v>
      </c>
      <c r="D129" s="1">
        <v>1</v>
      </c>
      <c r="E129" s="1">
        <v>0</v>
      </c>
      <c r="F129" s="1">
        <v>0</v>
      </c>
      <c r="G129" s="1">
        <v>2</v>
      </c>
      <c r="H129" s="13">
        <v>14.52</v>
      </c>
      <c r="I129" s="13">
        <v>2</v>
      </c>
      <c r="J129" s="10">
        <f t="shared" si="3"/>
        <v>2.4372092444463016</v>
      </c>
      <c r="K129" s="10">
        <f t="shared" si="4"/>
        <v>-0.4372092444463016</v>
      </c>
      <c r="L129" s="10">
        <f t="shared" si="5"/>
        <v>0.1911519234293059</v>
      </c>
    </row>
    <row r="130" spans="1:12" x14ac:dyDescent="0.3">
      <c r="A130" s="1">
        <v>0</v>
      </c>
      <c r="B130" s="1">
        <v>0</v>
      </c>
      <c r="C130" s="1">
        <v>0</v>
      </c>
      <c r="D130" s="1">
        <v>1</v>
      </c>
      <c r="E130" s="1">
        <v>0</v>
      </c>
      <c r="F130" s="1">
        <v>0</v>
      </c>
      <c r="G130" s="1">
        <v>2</v>
      </c>
      <c r="H130" s="13">
        <v>11.38</v>
      </c>
      <c r="I130" s="13">
        <v>2</v>
      </c>
      <c r="J130" s="10">
        <f t="shared" si="3"/>
        <v>2.1407305429034702</v>
      </c>
      <c r="K130" s="10">
        <f t="shared" si="4"/>
        <v>-0.1407305429034702</v>
      </c>
      <c r="L130" s="10">
        <f t="shared" si="5"/>
        <v>1.9805085705905466E-2</v>
      </c>
    </row>
    <row r="131" spans="1:12" x14ac:dyDescent="0.3">
      <c r="A131" s="1">
        <v>1</v>
      </c>
      <c r="B131" s="1">
        <v>0</v>
      </c>
      <c r="C131" s="1">
        <v>0</v>
      </c>
      <c r="D131" s="1">
        <v>1</v>
      </c>
      <c r="E131" s="1">
        <v>0</v>
      </c>
      <c r="F131" s="1">
        <v>0</v>
      </c>
      <c r="G131" s="1">
        <v>3</v>
      </c>
      <c r="H131" s="13">
        <v>22.82</v>
      </c>
      <c r="I131" s="13">
        <v>2.1800000000000002</v>
      </c>
      <c r="J131" s="10">
        <f t="shared" ref="J131:J194" si="6">A131*$N$2+B131*$N$3+C131*$N$4+D131*$N$5+E131*$N$6+F131*$N$7+G131*$N$8+H131*$N$9+$N$1</f>
        <v>3.3626924679766619</v>
      </c>
      <c r="K131" s="10">
        <f t="shared" ref="K131:K194" si="7">I131-J131</f>
        <v>-1.1826924679766617</v>
      </c>
      <c r="L131" s="10">
        <f t="shared" ref="L131:L194" si="8">K131^2</f>
        <v>1.3987614738087271</v>
      </c>
    </row>
    <row r="132" spans="1:12" x14ac:dyDescent="0.3">
      <c r="A132" s="1">
        <v>1</v>
      </c>
      <c r="B132" s="1">
        <v>0</v>
      </c>
      <c r="C132" s="1">
        <v>0</v>
      </c>
      <c r="D132" s="1">
        <v>1</v>
      </c>
      <c r="E132" s="1">
        <v>0</v>
      </c>
      <c r="F132" s="1">
        <v>0</v>
      </c>
      <c r="G132" s="1">
        <v>2</v>
      </c>
      <c r="H132" s="13">
        <v>19.079999999999998</v>
      </c>
      <c r="I132" s="13">
        <v>1.5</v>
      </c>
      <c r="J132" s="10">
        <f t="shared" si="6"/>
        <v>2.8334717811010153</v>
      </c>
      <c r="K132" s="10">
        <f t="shared" si="7"/>
        <v>-1.3334717811010153</v>
      </c>
      <c r="L132" s="10">
        <f t="shared" si="8"/>
        <v>1.7781469909927139</v>
      </c>
    </row>
    <row r="133" spans="1:12" x14ac:dyDescent="0.3">
      <c r="A133" s="1">
        <v>0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2</v>
      </c>
      <c r="H133" s="13">
        <v>20.27</v>
      </c>
      <c r="I133" s="13">
        <v>2.83</v>
      </c>
      <c r="J133" s="10">
        <f t="shared" si="6"/>
        <v>2.980124064150532</v>
      </c>
      <c r="K133" s="10">
        <f t="shared" si="7"/>
        <v>-0.15012406415053192</v>
      </c>
      <c r="L133" s="10">
        <f t="shared" si="8"/>
        <v>2.2537234637073023E-2</v>
      </c>
    </row>
    <row r="134" spans="1:12" x14ac:dyDescent="0.3">
      <c r="A134" s="1">
        <v>0</v>
      </c>
      <c r="B134" s="1">
        <v>0</v>
      </c>
      <c r="C134" s="1">
        <v>0</v>
      </c>
      <c r="D134" s="1">
        <v>1</v>
      </c>
      <c r="E134" s="1">
        <v>0</v>
      </c>
      <c r="F134" s="1">
        <v>0</v>
      </c>
      <c r="G134" s="1">
        <v>2</v>
      </c>
      <c r="H134" s="13">
        <v>11.17</v>
      </c>
      <c r="I134" s="13">
        <v>1.5</v>
      </c>
      <c r="J134" s="10">
        <f t="shared" si="6"/>
        <v>2.1209023494881851</v>
      </c>
      <c r="K134" s="10">
        <f t="shared" si="7"/>
        <v>-0.62090234948818512</v>
      </c>
      <c r="L134" s="10">
        <f t="shared" si="8"/>
        <v>0.3855197275999484</v>
      </c>
    </row>
    <row r="135" spans="1:12" x14ac:dyDescent="0.3">
      <c r="A135" s="1">
        <v>0</v>
      </c>
      <c r="B135" s="1">
        <v>0</v>
      </c>
      <c r="C135" s="1">
        <v>0</v>
      </c>
      <c r="D135" s="1">
        <v>1</v>
      </c>
      <c r="E135" s="1">
        <v>0</v>
      </c>
      <c r="F135" s="1">
        <v>0</v>
      </c>
      <c r="G135" s="1">
        <v>2</v>
      </c>
      <c r="H135" s="13">
        <v>12.26</v>
      </c>
      <c r="I135" s="13">
        <v>2</v>
      </c>
      <c r="J135" s="10">
        <f t="shared" si="6"/>
        <v>2.2238201153103789</v>
      </c>
      <c r="K135" s="10">
        <f t="shared" si="7"/>
        <v>-0.22382011531037893</v>
      </c>
      <c r="L135" s="10">
        <f t="shared" si="8"/>
        <v>5.0095444017551324E-2</v>
      </c>
    </row>
    <row r="136" spans="1:12" x14ac:dyDescent="0.3">
      <c r="A136" s="1">
        <v>0</v>
      </c>
      <c r="B136" s="1">
        <v>0</v>
      </c>
      <c r="C136" s="1">
        <v>0</v>
      </c>
      <c r="D136" s="1">
        <v>1</v>
      </c>
      <c r="E136" s="1">
        <v>0</v>
      </c>
      <c r="F136" s="1">
        <v>0</v>
      </c>
      <c r="G136" s="1">
        <v>2</v>
      </c>
      <c r="H136" s="13">
        <v>18.260000000000002</v>
      </c>
      <c r="I136" s="13">
        <v>3.25</v>
      </c>
      <c r="J136" s="10">
        <f t="shared" si="6"/>
        <v>2.7903399271756619</v>
      </c>
      <c r="K136" s="10">
        <f t="shared" si="7"/>
        <v>0.45966007282433807</v>
      </c>
      <c r="L136" s="10">
        <f t="shared" si="8"/>
        <v>0.21128738254887577</v>
      </c>
    </row>
    <row r="137" spans="1:12" x14ac:dyDescent="0.3">
      <c r="A137" s="1">
        <v>0</v>
      </c>
      <c r="B137" s="1">
        <v>0</v>
      </c>
      <c r="C137" s="1">
        <v>0</v>
      </c>
      <c r="D137" s="1">
        <v>1</v>
      </c>
      <c r="E137" s="1">
        <v>0</v>
      </c>
      <c r="F137" s="1">
        <v>0</v>
      </c>
      <c r="G137" s="1">
        <v>2</v>
      </c>
      <c r="H137" s="13">
        <v>8.51</v>
      </c>
      <c r="I137" s="13">
        <v>1.25</v>
      </c>
      <c r="J137" s="10">
        <f t="shared" si="6"/>
        <v>1.8697452328945767</v>
      </c>
      <c r="K137" s="10">
        <f t="shared" si="7"/>
        <v>-0.61974523289457673</v>
      </c>
      <c r="L137" s="10">
        <f t="shared" si="8"/>
        <v>0.38408415369555315</v>
      </c>
    </row>
    <row r="138" spans="1:12" x14ac:dyDescent="0.3">
      <c r="A138" s="1">
        <v>0</v>
      </c>
      <c r="B138" s="1">
        <v>0</v>
      </c>
      <c r="C138" s="1">
        <v>0</v>
      </c>
      <c r="D138" s="1">
        <v>1</v>
      </c>
      <c r="E138" s="1">
        <v>0</v>
      </c>
      <c r="F138" s="1">
        <v>0</v>
      </c>
      <c r="G138" s="1">
        <v>2</v>
      </c>
      <c r="H138" s="13">
        <v>10.33</v>
      </c>
      <c r="I138" s="13">
        <v>2</v>
      </c>
      <c r="J138" s="10">
        <f t="shared" si="6"/>
        <v>2.0415895758270457</v>
      </c>
      <c r="K138" s="10">
        <f t="shared" si="7"/>
        <v>-4.1589575827045699E-2</v>
      </c>
      <c r="L138" s="10">
        <f t="shared" si="8"/>
        <v>1.729692817473584E-3</v>
      </c>
    </row>
    <row r="139" spans="1:12" x14ac:dyDescent="0.3">
      <c r="A139" s="1">
        <v>0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2</v>
      </c>
      <c r="H139" s="13">
        <v>14.15</v>
      </c>
      <c r="I139" s="13">
        <v>2</v>
      </c>
      <c r="J139" s="10">
        <f t="shared" si="6"/>
        <v>2.4022738560479429</v>
      </c>
      <c r="K139" s="10">
        <f t="shared" si="7"/>
        <v>-0.40227385604794286</v>
      </c>
      <c r="L139" s="10">
        <f t="shared" si="8"/>
        <v>0.16182425525968105</v>
      </c>
    </row>
    <row r="140" spans="1:12" x14ac:dyDescent="0.3">
      <c r="A140" s="1">
        <v>1</v>
      </c>
      <c r="B140" s="1">
        <v>1</v>
      </c>
      <c r="C140" s="1">
        <v>0</v>
      </c>
      <c r="D140" s="1">
        <v>1</v>
      </c>
      <c r="E140" s="1">
        <v>0</v>
      </c>
      <c r="F140" s="1">
        <v>0</v>
      </c>
      <c r="G140" s="1">
        <v>2</v>
      </c>
      <c r="H140" s="13">
        <v>16</v>
      </c>
      <c r="I140" s="13">
        <v>2</v>
      </c>
      <c r="J140" s="10">
        <f t="shared" si="6"/>
        <v>2.4594101518836791</v>
      </c>
      <c r="K140" s="10">
        <f t="shared" si="7"/>
        <v>-0.45941015188367906</v>
      </c>
      <c r="L140" s="10">
        <f t="shared" si="8"/>
        <v>0.21105768765378508</v>
      </c>
    </row>
    <row r="141" spans="1:12" x14ac:dyDescent="0.3">
      <c r="A141" s="1">
        <v>0</v>
      </c>
      <c r="B141" s="1">
        <v>0</v>
      </c>
      <c r="C141" s="1">
        <v>0</v>
      </c>
      <c r="D141" s="1">
        <v>1</v>
      </c>
      <c r="E141" s="1">
        <v>0</v>
      </c>
      <c r="F141" s="1">
        <v>0</v>
      </c>
      <c r="G141" s="1">
        <v>2</v>
      </c>
      <c r="H141" s="13">
        <v>13.16</v>
      </c>
      <c r="I141" s="13">
        <v>2.75</v>
      </c>
      <c r="J141" s="10">
        <f t="shared" si="6"/>
        <v>2.308798087090171</v>
      </c>
      <c r="K141" s="10">
        <f t="shared" si="7"/>
        <v>0.44120191290982902</v>
      </c>
      <c r="L141" s="10">
        <f t="shared" si="8"/>
        <v>0.19465912795529236</v>
      </c>
    </row>
    <row r="142" spans="1:12" x14ac:dyDescent="0.3">
      <c r="A142" s="1">
        <v>0</v>
      </c>
      <c r="B142" s="1">
        <v>0</v>
      </c>
      <c r="C142" s="1">
        <v>0</v>
      </c>
      <c r="D142" s="1">
        <v>1</v>
      </c>
      <c r="E142" s="1">
        <v>0</v>
      </c>
      <c r="F142" s="1">
        <v>0</v>
      </c>
      <c r="G142" s="1">
        <v>2</v>
      </c>
      <c r="H142" s="13">
        <v>17.47</v>
      </c>
      <c r="I142" s="13">
        <v>3.5</v>
      </c>
      <c r="J142" s="10">
        <f t="shared" si="6"/>
        <v>2.715748151946733</v>
      </c>
      <c r="K142" s="10">
        <f t="shared" si="7"/>
        <v>0.78425184805326698</v>
      </c>
      <c r="L142" s="10">
        <f t="shared" si="8"/>
        <v>0.61505096117496461</v>
      </c>
    </row>
    <row r="143" spans="1:12" x14ac:dyDescent="0.3">
      <c r="A143" s="1">
        <v>1</v>
      </c>
      <c r="B143" s="1">
        <v>0</v>
      </c>
      <c r="C143" s="1">
        <v>0</v>
      </c>
      <c r="D143" s="1">
        <v>1</v>
      </c>
      <c r="E143" s="1">
        <v>0</v>
      </c>
      <c r="F143" s="1">
        <v>0</v>
      </c>
      <c r="G143" s="1">
        <v>6</v>
      </c>
      <c r="H143" s="13">
        <v>34.299999999999997</v>
      </c>
      <c r="I143" s="13">
        <v>6.7</v>
      </c>
      <c r="J143" s="10">
        <f t="shared" si="6"/>
        <v>4.9749037204510982</v>
      </c>
      <c r="K143" s="10">
        <f t="shared" si="7"/>
        <v>1.725096279548902</v>
      </c>
      <c r="L143" s="10">
        <f t="shared" si="8"/>
        <v>2.9759571737134634</v>
      </c>
    </row>
    <row r="144" spans="1:12" x14ac:dyDescent="0.3">
      <c r="A144" s="1">
        <v>1</v>
      </c>
      <c r="B144" s="1">
        <v>0</v>
      </c>
      <c r="C144" s="1">
        <v>0</v>
      </c>
      <c r="D144" s="1">
        <v>1</v>
      </c>
      <c r="E144" s="1">
        <v>0</v>
      </c>
      <c r="F144" s="1">
        <v>0</v>
      </c>
      <c r="G144" s="1">
        <v>5</v>
      </c>
      <c r="H144" s="13">
        <v>41.19</v>
      </c>
      <c r="I144" s="13">
        <v>5</v>
      </c>
      <c r="J144" s="10">
        <f t="shared" si="6"/>
        <v>5.4493673002634448</v>
      </c>
      <c r="K144" s="10">
        <f t="shared" si="7"/>
        <v>-0.44936730026344485</v>
      </c>
      <c r="L144" s="10">
        <f t="shared" si="8"/>
        <v>0.20193097054605699</v>
      </c>
    </row>
    <row r="145" spans="1:12" x14ac:dyDescent="0.3">
      <c r="A145" s="1">
        <v>0</v>
      </c>
      <c r="B145" s="1">
        <v>0</v>
      </c>
      <c r="C145" s="1">
        <v>0</v>
      </c>
      <c r="D145" s="1">
        <v>1</v>
      </c>
      <c r="E145" s="1">
        <v>0</v>
      </c>
      <c r="F145" s="1">
        <v>0</v>
      </c>
      <c r="G145" s="1">
        <v>6</v>
      </c>
      <c r="H145" s="13">
        <v>27.05</v>
      </c>
      <c r="I145" s="13">
        <v>5</v>
      </c>
      <c r="J145" s="10">
        <f t="shared" si="6"/>
        <v>4.3246514681434505</v>
      </c>
      <c r="K145" s="10">
        <f t="shared" si="7"/>
        <v>0.67534853185654953</v>
      </c>
      <c r="L145" s="10">
        <f t="shared" si="8"/>
        <v>0.4560956394807969</v>
      </c>
    </row>
    <row r="146" spans="1:12" x14ac:dyDescent="0.3">
      <c r="A146" s="1">
        <v>0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2</v>
      </c>
      <c r="H146" s="13">
        <v>16.43</v>
      </c>
      <c r="I146" s="13">
        <v>2.2999999999999998</v>
      </c>
      <c r="J146" s="10">
        <f t="shared" si="6"/>
        <v>2.6175513845567506</v>
      </c>
      <c r="K146" s="10">
        <f t="shared" si="7"/>
        <v>-0.3175513845567508</v>
      </c>
      <c r="L146" s="10">
        <f t="shared" si="8"/>
        <v>0.10083888183390943</v>
      </c>
    </row>
    <row r="147" spans="1:12" x14ac:dyDescent="0.3">
      <c r="A147" s="1">
        <v>0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2</v>
      </c>
      <c r="H147" s="13">
        <v>8.35</v>
      </c>
      <c r="I147" s="13">
        <v>1.5</v>
      </c>
      <c r="J147" s="10">
        <f t="shared" si="6"/>
        <v>1.8546380379115026</v>
      </c>
      <c r="K147" s="10">
        <f t="shared" si="7"/>
        <v>-0.35463803791150261</v>
      </c>
      <c r="L147" s="10">
        <f t="shared" si="8"/>
        <v>0.12576813793372035</v>
      </c>
    </row>
    <row r="148" spans="1:12" x14ac:dyDescent="0.3">
      <c r="A148" s="1">
        <v>0</v>
      </c>
      <c r="B148" s="1">
        <v>0</v>
      </c>
      <c r="C148" s="1">
        <v>0</v>
      </c>
      <c r="D148" s="1">
        <v>1</v>
      </c>
      <c r="E148" s="1">
        <v>0</v>
      </c>
      <c r="F148" s="1">
        <v>0</v>
      </c>
      <c r="G148" s="1">
        <v>3</v>
      </c>
      <c r="H148" s="13">
        <v>18.64</v>
      </c>
      <c r="I148" s="13">
        <v>1.36</v>
      </c>
      <c r="J148" s="10">
        <f t="shared" si="6"/>
        <v>3.0023095194067499</v>
      </c>
      <c r="K148" s="10">
        <f t="shared" si="7"/>
        <v>-1.6423095194067499</v>
      </c>
      <c r="L148" s="10">
        <f t="shared" si="8"/>
        <v>2.6971805575340295</v>
      </c>
    </row>
    <row r="149" spans="1:12" x14ac:dyDescent="0.3">
      <c r="A149" s="1">
        <v>0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2</v>
      </c>
      <c r="H149" s="13">
        <v>11.87</v>
      </c>
      <c r="I149" s="13">
        <v>1.63</v>
      </c>
      <c r="J149" s="10">
        <f t="shared" si="6"/>
        <v>2.1869963275391351</v>
      </c>
      <c r="K149" s="10">
        <f t="shared" si="7"/>
        <v>-0.55699632753913519</v>
      </c>
      <c r="L149" s="10">
        <f t="shared" si="8"/>
        <v>0.31024490889208356</v>
      </c>
    </row>
    <row r="150" spans="1:12" x14ac:dyDescent="0.3">
      <c r="A150" s="1">
        <v>1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2</v>
      </c>
      <c r="H150" s="13">
        <v>9.7799999999999994</v>
      </c>
      <c r="I150" s="13">
        <v>1.73</v>
      </c>
      <c r="J150" s="10">
        <f t="shared" si="6"/>
        <v>1.9553660727098265</v>
      </c>
      <c r="K150" s="10">
        <f t="shared" si="7"/>
        <v>-0.22536607270982656</v>
      </c>
      <c r="L150" s="10">
        <f t="shared" si="8"/>
        <v>5.078986672865083E-2</v>
      </c>
    </row>
    <row r="151" spans="1:12" x14ac:dyDescent="0.3">
      <c r="A151" s="1">
        <v>1</v>
      </c>
      <c r="B151" s="1">
        <v>0</v>
      </c>
      <c r="C151" s="1">
        <v>0</v>
      </c>
      <c r="D151" s="1">
        <v>1</v>
      </c>
      <c r="E151" s="1">
        <v>0</v>
      </c>
      <c r="F151" s="1">
        <v>0</v>
      </c>
      <c r="G151" s="1">
        <v>2</v>
      </c>
      <c r="H151" s="13">
        <v>7.51</v>
      </c>
      <c r="I151" s="13">
        <v>2</v>
      </c>
      <c r="J151" s="10">
        <f t="shared" si="6"/>
        <v>1.7410327438874611</v>
      </c>
      <c r="K151" s="10">
        <f t="shared" si="7"/>
        <v>0.2589672561125389</v>
      </c>
      <c r="L151" s="10">
        <f t="shared" si="8"/>
        <v>6.7064039738457315E-2</v>
      </c>
    </row>
    <row r="152" spans="1:12" x14ac:dyDescent="0.3">
      <c r="A152" s="1">
        <v>1</v>
      </c>
      <c r="B152" s="1">
        <v>0</v>
      </c>
      <c r="C152" s="1">
        <v>1</v>
      </c>
      <c r="D152" s="1">
        <v>0</v>
      </c>
      <c r="E152" s="1">
        <v>0</v>
      </c>
      <c r="F152" s="1">
        <v>1</v>
      </c>
      <c r="G152" s="1">
        <v>2</v>
      </c>
      <c r="H152" s="13">
        <v>14.07</v>
      </c>
      <c r="I152" s="13">
        <v>2.5</v>
      </c>
      <c r="J152" s="10">
        <f t="shared" si="6"/>
        <v>2.426492808548514</v>
      </c>
      <c r="K152" s="10">
        <f t="shared" si="7"/>
        <v>7.3507191451485987E-2</v>
      </c>
      <c r="L152" s="10">
        <f t="shared" si="8"/>
        <v>5.4033071950854144E-3</v>
      </c>
    </row>
    <row r="153" spans="1:12" x14ac:dyDescent="0.3">
      <c r="A153" s="1">
        <v>1</v>
      </c>
      <c r="B153" s="1">
        <v>0</v>
      </c>
      <c r="C153" s="1">
        <v>1</v>
      </c>
      <c r="D153" s="1">
        <v>0</v>
      </c>
      <c r="E153" s="1">
        <v>0</v>
      </c>
      <c r="F153" s="1">
        <v>1</v>
      </c>
      <c r="G153" s="1">
        <v>2</v>
      </c>
      <c r="H153" s="13">
        <v>13.13</v>
      </c>
      <c r="I153" s="13">
        <v>2</v>
      </c>
      <c r="J153" s="10">
        <f t="shared" si="6"/>
        <v>2.3377380380229535</v>
      </c>
      <c r="K153" s="10">
        <f t="shared" si="7"/>
        <v>-0.33773803802295355</v>
      </c>
      <c r="L153" s="10">
        <f t="shared" si="8"/>
        <v>0.11406698232759402</v>
      </c>
    </row>
    <row r="154" spans="1:12" x14ac:dyDescent="0.3">
      <c r="A154" s="1">
        <v>1</v>
      </c>
      <c r="B154" s="1">
        <v>0</v>
      </c>
      <c r="C154" s="1">
        <v>1</v>
      </c>
      <c r="D154" s="1">
        <v>0</v>
      </c>
      <c r="E154" s="1">
        <v>0</v>
      </c>
      <c r="F154" s="1">
        <v>1</v>
      </c>
      <c r="G154" s="1">
        <v>3</v>
      </c>
      <c r="H154" s="13">
        <v>17.260000000000002</v>
      </c>
      <c r="I154" s="13">
        <v>2.74</v>
      </c>
      <c r="J154" s="10">
        <f t="shared" si="6"/>
        <v>2.903782512669844</v>
      </c>
      <c r="K154" s="10">
        <f t="shared" si="7"/>
        <v>-0.16378251266984378</v>
      </c>
      <c r="L154" s="10">
        <f t="shared" si="8"/>
        <v>2.6824711456447541E-2</v>
      </c>
    </row>
    <row r="155" spans="1:12" x14ac:dyDescent="0.3">
      <c r="A155" s="1">
        <v>1</v>
      </c>
      <c r="B155" s="1">
        <v>0</v>
      </c>
      <c r="C155" s="1">
        <v>1</v>
      </c>
      <c r="D155" s="1">
        <v>0</v>
      </c>
      <c r="E155" s="1">
        <v>0</v>
      </c>
      <c r="F155" s="1">
        <v>1</v>
      </c>
      <c r="G155" s="1">
        <v>4</v>
      </c>
      <c r="H155" s="13">
        <v>24.55</v>
      </c>
      <c r="I155" s="13">
        <v>2</v>
      </c>
      <c r="J155" s="10">
        <f t="shared" si="6"/>
        <v>3.7681940882324501</v>
      </c>
      <c r="K155" s="10">
        <f t="shared" si="7"/>
        <v>-1.7681940882324501</v>
      </c>
      <c r="L155" s="10">
        <f t="shared" si="8"/>
        <v>3.1265103336601854</v>
      </c>
    </row>
    <row r="156" spans="1:12" x14ac:dyDescent="0.3">
      <c r="A156" s="1">
        <v>1</v>
      </c>
      <c r="B156" s="1">
        <v>0</v>
      </c>
      <c r="C156" s="1">
        <v>1</v>
      </c>
      <c r="D156" s="1">
        <v>0</v>
      </c>
      <c r="E156" s="1">
        <v>0</v>
      </c>
      <c r="F156" s="1">
        <v>1</v>
      </c>
      <c r="G156" s="1">
        <v>4</v>
      </c>
      <c r="H156" s="13">
        <v>19.77</v>
      </c>
      <c r="I156" s="13">
        <v>2</v>
      </c>
      <c r="J156" s="10">
        <f t="shared" si="6"/>
        <v>3.3168666381131073</v>
      </c>
      <c r="K156" s="10">
        <f t="shared" si="7"/>
        <v>-1.3168666381131073</v>
      </c>
      <c r="L156" s="10">
        <f t="shared" si="8"/>
        <v>1.7341377425753175</v>
      </c>
    </row>
    <row r="157" spans="1:12" x14ac:dyDescent="0.3">
      <c r="A157" s="1">
        <v>0</v>
      </c>
      <c r="B157" s="1">
        <v>0</v>
      </c>
      <c r="C157" s="1">
        <v>1</v>
      </c>
      <c r="D157" s="1">
        <v>0</v>
      </c>
      <c r="E157" s="1">
        <v>0</v>
      </c>
      <c r="F157" s="1">
        <v>1</v>
      </c>
      <c r="G157" s="1">
        <v>5</v>
      </c>
      <c r="H157" s="13">
        <v>29.85</v>
      </c>
      <c r="I157" s="13">
        <v>5.14</v>
      </c>
      <c r="J157" s="10">
        <f t="shared" si="6"/>
        <v>4.4790024465559721</v>
      </c>
      <c r="K157" s="10">
        <f t="shared" si="7"/>
        <v>0.66099755344402755</v>
      </c>
      <c r="L157" s="10">
        <f t="shared" si="8"/>
        <v>0.43691776565899004</v>
      </c>
    </row>
    <row r="158" spans="1:12" x14ac:dyDescent="0.3">
      <c r="A158" s="1">
        <v>1</v>
      </c>
      <c r="B158" s="1">
        <v>0</v>
      </c>
      <c r="C158" s="1">
        <v>1</v>
      </c>
      <c r="D158" s="1">
        <v>0</v>
      </c>
      <c r="E158" s="1">
        <v>0</v>
      </c>
      <c r="F158" s="1">
        <v>1</v>
      </c>
      <c r="G158" s="1">
        <v>6</v>
      </c>
      <c r="H158" s="13">
        <v>48.17</v>
      </c>
      <c r="I158" s="13">
        <v>5</v>
      </c>
      <c r="J158" s="10">
        <f t="shared" si="6"/>
        <v>6.3505737559013555</v>
      </c>
      <c r="K158" s="10">
        <f t="shared" si="7"/>
        <v>-1.3505737559013555</v>
      </c>
      <c r="L158" s="10">
        <f t="shared" si="8"/>
        <v>1.8240494701294943</v>
      </c>
    </row>
    <row r="159" spans="1:12" x14ac:dyDescent="0.3">
      <c r="A159" s="1">
        <v>0</v>
      </c>
      <c r="B159" s="1">
        <v>0</v>
      </c>
      <c r="C159" s="1">
        <v>1</v>
      </c>
      <c r="D159" s="1">
        <v>0</v>
      </c>
      <c r="E159" s="1">
        <v>0</v>
      </c>
      <c r="F159" s="1">
        <v>1</v>
      </c>
      <c r="G159" s="1">
        <v>4</v>
      </c>
      <c r="H159" s="13">
        <v>25</v>
      </c>
      <c r="I159" s="13">
        <v>3.75</v>
      </c>
      <c r="J159" s="10">
        <f t="shared" si="6"/>
        <v>3.8449755944852475</v>
      </c>
      <c r="K159" s="10">
        <f t="shared" si="7"/>
        <v>-9.4975594485247505E-2</v>
      </c>
      <c r="L159" s="10">
        <f t="shared" si="8"/>
        <v>9.0203635478261768E-3</v>
      </c>
    </row>
    <row r="160" spans="1:12" x14ac:dyDescent="0.3">
      <c r="A160" s="1">
        <v>0</v>
      </c>
      <c r="B160" s="1">
        <v>0</v>
      </c>
      <c r="C160" s="1">
        <v>1</v>
      </c>
      <c r="D160" s="1">
        <v>0</v>
      </c>
      <c r="E160" s="1">
        <v>0</v>
      </c>
      <c r="F160" s="1">
        <v>1</v>
      </c>
      <c r="G160" s="1">
        <v>2</v>
      </c>
      <c r="H160" s="13">
        <v>13.39</v>
      </c>
      <c r="I160" s="13">
        <v>2.61</v>
      </c>
      <c r="J160" s="10">
        <f t="shared" si="6"/>
        <v>2.3965797502333506</v>
      </c>
      <c r="K160" s="10">
        <f t="shared" si="7"/>
        <v>0.21342024976664931</v>
      </c>
      <c r="L160" s="10">
        <f t="shared" si="8"/>
        <v>4.5548203010458976E-2</v>
      </c>
    </row>
    <row r="161" spans="1:12" x14ac:dyDescent="0.3">
      <c r="A161" s="1">
        <v>1</v>
      </c>
      <c r="B161" s="1">
        <v>0</v>
      </c>
      <c r="C161" s="1">
        <v>1</v>
      </c>
      <c r="D161" s="1">
        <v>0</v>
      </c>
      <c r="E161" s="1">
        <v>0</v>
      </c>
      <c r="F161" s="1">
        <v>1</v>
      </c>
      <c r="G161" s="1">
        <v>4</v>
      </c>
      <c r="H161" s="13">
        <v>16.489999999999998</v>
      </c>
      <c r="I161" s="13">
        <v>2</v>
      </c>
      <c r="J161" s="10">
        <f t="shared" si="6"/>
        <v>3.0071691409600856</v>
      </c>
      <c r="K161" s="10">
        <f t="shared" si="7"/>
        <v>-1.0071691409600856</v>
      </c>
      <c r="L161" s="10">
        <f t="shared" si="8"/>
        <v>1.0143896785022768</v>
      </c>
    </row>
    <row r="162" spans="1:12" x14ac:dyDescent="0.3">
      <c r="A162" s="1">
        <v>1</v>
      </c>
      <c r="B162" s="1">
        <v>0</v>
      </c>
      <c r="C162" s="1">
        <v>1</v>
      </c>
      <c r="D162" s="1">
        <v>0</v>
      </c>
      <c r="E162" s="1">
        <v>0</v>
      </c>
      <c r="F162" s="1">
        <v>1</v>
      </c>
      <c r="G162" s="1">
        <v>4</v>
      </c>
      <c r="H162" s="13">
        <v>21.5</v>
      </c>
      <c r="I162" s="13">
        <v>3.5</v>
      </c>
      <c r="J162" s="10">
        <f t="shared" si="6"/>
        <v>3.4802131838675976</v>
      </c>
      <c r="K162" s="10">
        <f t="shared" si="7"/>
        <v>1.9786816132402407E-2</v>
      </c>
      <c r="L162" s="10">
        <f t="shared" si="8"/>
        <v>3.9151809265750015E-4</v>
      </c>
    </row>
    <row r="163" spans="1:12" x14ac:dyDescent="0.3">
      <c r="A163" s="1">
        <v>1</v>
      </c>
      <c r="B163" s="1">
        <v>0</v>
      </c>
      <c r="C163" s="1">
        <v>1</v>
      </c>
      <c r="D163" s="1">
        <v>0</v>
      </c>
      <c r="E163" s="1">
        <v>0</v>
      </c>
      <c r="F163" s="1">
        <v>1</v>
      </c>
      <c r="G163" s="1">
        <v>2</v>
      </c>
      <c r="H163" s="13">
        <v>12.66</v>
      </c>
      <c r="I163" s="13">
        <v>2.5</v>
      </c>
      <c r="J163" s="10">
        <f t="shared" si="6"/>
        <v>2.2933606527601729</v>
      </c>
      <c r="K163" s="10">
        <f t="shared" si="7"/>
        <v>0.20663934723982713</v>
      </c>
      <c r="L163" s="10">
        <f t="shared" si="8"/>
        <v>4.2699819827701851E-2</v>
      </c>
    </row>
    <row r="164" spans="1:12" x14ac:dyDescent="0.3">
      <c r="A164" s="1">
        <v>0</v>
      </c>
      <c r="B164" s="1">
        <v>0</v>
      </c>
      <c r="C164" s="1">
        <v>1</v>
      </c>
      <c r="D164" s="1">
        <v>0</v>
      </c>
      <c r="E164" s="1">
        <v>0</v>
      </c>
      <c r="F164" s="1">
        <v>1</v>
      </c>
      <c r="G164" s="1">
        <v>3</v>
      </c>
      <c r="H164" s="13">
        <v>16.21</v>
      </c>
      <c r="I164" s="13">
        <v>2</v>
      </c>
      <c r="J164" s="10">
        <f t="shared" si="6"/>
        <v>2.8389340659563205</v>
      </c>
      <c r="K164" s="10">
        <f t="shared" si="7"/>
        <v>-0.83893406595632047</v>
      </c>
      <c r="L164" s="10">
        <f t="shared" si="8"/>
        <v>0.70381036702200384</v>
      </c>
    </row>
    <row r="165" spans="1:12" x14ac:dyDescent="0.3">
      <c r="A165" s="1">
        <v>1</v>
      </c>
      <c r="B165" s="1">
        <v>0</v>
      </c>
      <c r="C165" s="1">
        <v>1</v>
      </c>
      <c r="D165" s="1">
        <v>0</v>
      </c>
      <c r="E165" s="1">
        <v>0</v>
      </c>
      <c r="F165" s="1">
        <v>1</v>
      </c>
      <c r="G165" s="1">
        <v>2</v>
      </c>
      <c r="H165" s="13">
        <v>13.81</v>
      </c>
      <c r="I165" s="13">
        <v>2</v>
      </c>
      <c r="J165" s="10">
        <f t="shared" si="6"/>
        <v>2.4019436167010184</v>
      </c>
      <c r="K165" s="10">
        <f t="shared" si="7"/>
        <v>-0.40194361670101841</v>
      </c>
      <c r="L165" s="10">
        <f t="shared" si="8"/>
        <v>0.16155867100669521</v>
      </c>
    </row>
    <row r="166" spans="1:12" x14ac:dyDescent="0.3">
      <c r="A166" s="1">
        <v>0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1">
        <v>2</v>
      </c>
      <c r="H166" s="13">
        <v>17.510000000000002</v>
      </c>
      <c r="I166" s="13">
        <v>3</v>
      </c>
      <c r="J166" s="10">
        <f t="shared" si="6"/>
        <v>2.7023418952543539</v>
      </c>
      <c r="K166" s="10">
        <f t="shared" si="7"/>
        <v>0.29765810474564613</v>
      </c>
      <c r="L166" s="10">
        <f t="shared" si="8"/>
        <v>8.8600347320770045E-2</v>
      </c>
    </row>
    <row r="167" spans="1:12" x14ac:dyDescent="0.3">
      <c r="A167" s="1">
        <v>1</v>
      </c>
      <c r="B167" s="1">
        <v>0</v>
      </c>
      <c r="C167" s="1">
        <v>1</v>
      </c>
      <c r="D167" s="1">
        <v>0</v>
      </c>
      <c r="E167" s="1">
        <v>0</v>
      </c>
      <c r="F167" s="1">
        <v>1</v>
      </c>
      <c r="G167" s="1">
        <v>3</v>
      </c>
      <c r="H167" s="13">
        <v>24.52</v>
      </c>
      <c r="I167" s="13">
        <v>3.48</v>
      </c>
      <c r="J167" s="10">
        <f t="shared" si="6"/>
        <v>3.5892714850268357</v>
      </c>
      <c r="K167" s="10">
        <f t="shared" si="7"/>
        <v>-0.1092714850268357</v>
      </c>
      <c r="L167" s="10">
        <f t="shared" si="8"/>
        <v>1.194025743996998E-2</v>
      </c>
    </row>
    <row r="168" spans="1:12" x14ac:dyDescent="0.3">
      <c r="A168" s="1">
        <v>1</v>
      </c>
      <c r="B168" s="1">
        <v>0</v>
      </c>
      <c r="C168" s="1">
        <v>1</v>
      </c>
      <c r="D168" s="1">
        <v>0</v>
      </c>
      <c r="E168" s="1">
        <v>0</v>
      </c>
      <c r="F168" s="1">
        <v>1</v>
      </c>
      <c r="G168" s="1">
        <v>2</v>
      </c>
      <c r="H168" s="13">
        <v>20.76</v>
      </c>
      <c r="I168" s="13">
        <v>2.2400000000000002</v>
      </c>
      <c r="J168" s="10">
        <f t="shared" si="6"/>
        <v>3.0581623987783049</v>
      </c>
      <c r="K168" s="10">
        <f t="shared" si="7"/>
        <v>-0.81816239877830466</v>
      </c>
      <c r="L168" s="10">
        <f t="shared" si="8"/>
        <v>0.66938971077466958</v>
      </c>
    </row>
    <row r="169" spans="1:12" x14ac:dyDescent="0.3">
      <c r="A169" s="1">
        <v>1</v>
      </c>
      <c r="B169" s="1">
        <v>0</v>
      </c>
      <c r="C169" s="1">
        <v>1</v>
      </c>
      <c r="D169" s="1">
        <v>0</v>
      </c>
      <c r="E169" s="1">
        <v>0</v>
      </c>
      <c r="F169" s="1">
        <v>1</v>
      </c>
      <c r="G169" s="1">
        <v>4</v>
      </c>
      <c r="H169" s="13">
        <v>31.71</v>
      </c>
      <c r="I169" s="13">
        <v>4.5</v>
      </c>
      <c r="J169" s="10">
        <f t="shared" si="6"/>
        <v>4.4442410637250207</v>
      </c>
      <c r="K169" s="10">
        <f t="shared" si="7"/>
        <v>5.5758936274979298E-2</v>
      </c>
      <c r="L169" s="10">
        <f t="shared" si="8"/>
        <v>3.1090589745172022E-3</v>
      </c>
    </row>
    <row r="170" spans="1:12" x14ac:dyDescent="0.3">
      <c r="A170" s="1">
        <v>0</v>
      </c>
      <c r="B170" s="1">
        <v>1</v>
      </c>
      <c r="C170" s="1">
        <v>0</v>
      </c>
      <c r="D170" s="1">
        <v>0</v>
      </c>
      <c r="E170" s="1">
        <v>0</v>
      </c>
      <c r="F170" s="1">
        <v>1</v>
      </c>
      <c r="G170" s="1">
        <v>2</v>
      </c>
      <c r="H170" s="13">
        <v>10.59</v>
      </c>
      <c r="I170" s="13">
        <v>1.61</v>
      </c>
      <c r="J170" s="10">
        <f t="shared" si="6"/>
        <v>1.9520519577958595</v>
      </c>
      <c r="K170" s="10">
        <f t="shared" si="7"/>
        <v>-0.3420519577958594</v>
      </c>
      <c r="L170" s="10">
        <f t="shared" si="8"/>
        <v>0.11699954183198037</v>
      </c>
    </row>
    <row r="171" spans="1:12" x14ac:dyDescent="0.3">
      <c r="A171" s="1">
        <v>0</v>
      </c>
      <c r="B171" s="1">
        <v>1</v>
      </c>
      <c r="C171" s="1">
        <v>0</v>
      </c>
      <c r="D171" s="1">
        <v>0</v>
      </c>
      <c r="E171" s="1">
        <v>0</v>
      </c>
      <c r="F171" s="1">
        <v>1</v>
      </c>
      <c r="G171" s="1">
        <v>2</v>
      </c>
      <c r="H171" s="13">
        <v>10.63</v>
      </c>
      <c r="I171" s="13">
        <v>2</v>
      </c>
      <c r="J171" s="10">
        <f t="shared" si="6"/>
        <v>1.9558287565416279</v>
      </c>
      <c r="K171" s="10">
        <f t="shared" si="7"/>
        <v>4.4171243458372089E-2</v>
      </c>
      <c r="L171" s="10">
        <f t="shared" si="8"/>
        <v>1.9510987486587791E-3</v>
      </c>
    </row>
    <row r="172" spans="1:12" x14ac:dyDescent="0.3">
      <c r="A172" s="1">
        <v>1</v>
      </c>
      <c r="B172" s="1">
        <v>1</v>
      </c>
      <c r="C172" s="1">
        <v>0</v>
      </c>
      <c r="D172" s="1">
        <v>0</v>
      </c>
      <c r="E172" s="1">
        <v>0</v>
      </c>
      <c r="F172" s="1">
        <v>1</v>
      </c>
      <c r="G172" s="1">
        <v>3</v>
      </c>
      <c r="H172" s="13">
        <v>50.81</v>
      </c>
      <c r="I172" s="13">
        <v>10</v>
      </c>
      <c r="J172" s="10">
        <f t="shared" si="6"/>
        <v>5.8914205804495259</v>
      </c>
      <c r="K172" s="10">
        <f t="shared" si="7"/>
        <v>4.1085794195504741</v>
      </c>
      <c r="L172" s="10">
        <f t="shared" si="8"/>
        <v>16.880424846753712</v>
      </c>
    </row>
    <row r="173" spans="1:12" x14ac:dyDescent="0.3">
      <c r="A173" s="1">
        <v>1</v>
      </c>
      <c r="B173" s="1">
        <v>1</v>
      </c>
      <c r="C173" s="1">
        <v>0</v>
      </c>
      <c r="D173" s="1">
        <v>0</v>
      </c>
      <c r="E173" s="1">
        <v>0</v>
      </c>
      <c r="F173" s="1">
        <v>1</v>
      </c>
      <c r="G173" s="1">
        <v>2</v>
      </c>
      <c r="H173" s="13">
        <v>15.81</v>
      </c>
      <c r="I173" s="13">
        <v>3.16</v>
      </c>
      <c r="J173" s="10">
        <f t="shared" si="6"/>
        <v>2.4106316737557538</v>
      </c>
      <c r="K173" s="10">
        <f t="shared" si="7"/>
        <v>0.74936832624424632</v>
      </c>
      <c r="L173" s="10">
        <f t="shared" si="8"/>
        <v>0.56155288837810313</v>
      </c>
    </row>
    <row r="174" spans="1:12" x14ac:dyDescent="0.3">
      <c r="A174" s="1">
        <v>1</v>
      </c>
      <c r="B174" s="1">
        <v>1</v>
      </c>
      <c r="C174" s="1">
        <v>1</v>
      </c>
      <c r="D174" s="1">
        <v>0</v>
      </c>
      <c r="E174" s="1">
        <v>0</v>
      </c>
      <c r="F174" s="1">
        <v>1</v>
      </c>
      <c r="G174" s="1">
        <v>2</v>
      </c>
      <c r="H174" s="13">
        <v>7.25</v>
      </c>
      <c r="I174" s="13">
        <v>5.15</v>
      </c>
      <c r="J174" s="10">
        <f t="shared" si="6"/>
        <v>1.6993004966018179</v>
      </c>
      <c r="K174" s="10">
        <f t="shared" si="7"/>
        <v>3.4506995033981824</v>
      </c>
      <c r="L174" s="10">
        <f t="shared" si="8"/>
        <v>11.907327062752463</v>
      </c>
    </row>
    <row r="175" spans="1:12" x14ac:dyDescent="0.3">
      <c r="A175" s="1">
        <v>1</v>
      </c>
      <c r="B175" s="1">
        <v>1</v>
      </c>
      <c r="C175" s="1">
        <v>1</v>
      </c>
      <c r="D175" s="1">
        <v>0</v>
      </c>
      <c r="E175" s="1">
        <v>0</v>
      </c>
      <c r="F175" s="1">
        <v>1</v>
      </c>
      <c r="G175" s="1">
        <v>2</v>
      </c>
      <c r="H175" s="13">
        <v>31.85</v>
      </c>
      <c r="I175" s="13">
        <v>3.18</v>
      </c>
      <c r="J175" s="10">
        <f t="shared" si="6"/>
        <v>4.0220317252494784</v>
      </c>
      <c r="K175" s="10">
        <f t="shared" si="7"/>
        <v>-0.84203172524947822</v>
      </c>
      <c r="L175" s="10">
        <f t="shared" si="8"/>
        <v>0.7090174263266128</v>
      </c>
    </row>
    <row r="176" spans="1:12" x14ac:dyDescent="0.3">
      <c r="A176" s="1">
        <v>1</v>
      </c>
      <c r="B176" s="1">
        <v>1</v>
      </c>
      <c r="C176" s="1">
        <v>1</v>
      </c>
      <c r="D176" s="1">
        <v>0</v>
      </c>
      <c r="E176" s="1">
        <v>0</v>
      </c>
      <c r="F176" s="1">
        <v>1</v>
      </c>
      <c r="G176" s="1">
        <v>2</v>
      </c>
      <c r="H176" s="13">
        <v>16.82</v>
      </c>
      <c r="I176" s="13">
        <v>4</v>
      </c>
      <c r="J176" s="10">
        <f t="shared" si="6"/>
        <v>2.6028995965269446</v>
      </c>
      <c r="K176" s="10">
        <f t="shared" si="7"/>
        <v>1.3971004034730554</v>
      </c>
      <c r="L176" s="10">
        <f t="shared" si="8"/>
        <v>1.9518895373845742</v>
      </c>
    </row>
    <row r="177" spans="1:12" x14ac:dyDescent="0.3">
      <c r="A177" s="1">
        <v>1</v>
      </c>
      <c r="B177" s="1">
        <v>1</v>
      </c>
      <c r="C177" s="1">
        <v>1</v>
      </c>
      <c r="D177" s="1">
        <v>0</v>
      </c>
      <c r="E177" s="1">
        <v>0</v>
      </c>
      <c r="F177" s="1">
        <v>1</v>
      </c>
      <c r="G177" s="1">
        <v>2</v>
      </c>
      <c r="H177" s="13">
        <v>32.9</v>
      </c>
      <c r="I177" s="13">
        <v>3.11</v>
      </c>
      <c r="J177" s="10">
        <f t="shared" si="6"/>
        <v>4.1211726923259029</v>
      </c>
      <c r="K177" s="10">
        <f t="shared" si="7"/>
        <v>-1.011172692325903</v>
      </c>
      <c r="L177" s="10">
        <f t="shared" si="8"/>
        <v>1.0224702137056154</v>
      </c>
    </row>
    <row r="178" spans="1:12" x14ac:dyDescent="0.3">
      <c r="A178" s="1">
        <v>1</v>
      </c>
      <c r="B178" s="1">
        <v>1</v>
      </c>
      <c r="C178" s="1">
        <v>1</v>
      </c>
      <c r="D178" s="1">
        <v>0</v>
      </c>
      <c r="E178" s="1">
        <v>0</v>
      </c>
      <c r="F178" s="1">
        <v>1</v>
      </c>
      <c r="G178" s="1">
        <v>2</v>
      </c>
      <c r="H178" s="13">
        <v>17.89</v>
      </c>
      <c r="I178" s="13">
        <v>2</v>
      </c>
      <c r="J178" s="10">
        <f t="shared" si="6"/>
        <v>2.7039289629762533</v>
      </c>
      <c r="K178" s="10">
        <f t="shared" si="7"/>
        <v>-0.70392896297625329</v>
      </c>
      <c r="L178" s="10">
        <f t="shared" si="8"/>
        <v>0.49551598491682336</v>
      </c>
    </row>
    <row r="179" spans="1:12" x14ac:dyDescent="0.3">
      <c r="A179" s="1">
        <v>1</v>
      </c>
      <c r="B179" s="1">
        <v>1</v>
      </c>
      <c r="C179" s="1">
        <v>1</v>
      </c>
      <c r="D179" s="1">
        <v>0</v>
      </c>
      <c r="E179" s="1">
        <v>0</v>
      </c>
      <c r="F179" s="1">
        <v>1</v>
      </c>
      <c r="G179" s="1">
        <v>2</v>
      </c>
      <c r="H179" s="13">
        <v>14.48</v>
      </c>
      <c r="I179" s="13">
        <v>2</v>
      </c>
      <c r="J179" s="10">
        <f t="shared" si="6"/>
        <v>2.3819568698994842</v>
      </c>
      <c r="K179" s="10">
        <f t="shared" si="7"/>
        <v>-0.38195686989948419</v>
      </c>
      <c r="L179" s="10">
        <f t="shared" si="8"/>
        <v>0.1458910504634115</v>
      </c>
    </row>
    <row r="180" spans="1:12" x14ac:dyDescent="0.3">
      <c r="A180" s="1">
        <v>0</v>
      </c>
      <c r="B180" s="1">
        <v>1</v>
      </c>
      <c r="C180" s="1">
        <v>1</v>
      </c>
      <c r="D180" s="1">
        <v>0</v>
      </c>
      <c r="E180" s="1">
        <v>0</v>
      </c>
      <c r="F180" s="1">
        <v>1</v>
      </c>
      <c r="G180" s="1">
        <v>2</v>
      </c>
      <c r="H180" s="13">
        <v>9.6</v>
      </c>
      <c r="I180" s="13">
        <v>4</v>
      </c>
      <c r="J180" s="10">
        <f t="shared" si="6"/>
        <v>1.9554799432786221</v>
      </c>
      <c r="K180" s="10">
        <f t="shared" si="7"/>
        <v>2.0445200567213782</v>
      </c>
      <c r="L180" s="10">
        <f t="shared" si="8"/>
        <v>4.1800622623359871</v>
      </c>
    </row>
    <row r="181" spans="1:12" x14ac:dyDescent="0.3">
      <c r="A181" s="1">
        <v>1</v>
      </c>
      <c r="B181" s="1">
        <v>1</v>
      </c>
      <c r="C181" s="1">
        <v>1</v>
      </c>
      <c r="D181" s="1">
        <v>0</v>
      </c>
      <c r="E181" s="1">
        <v>0</v>
      </c>
      <c r="F181" s="1">
        <v>1</v>
      </c>
      <c r="G181" s="1">
        <v>2</v>
      </c>
      <c r="H181" s="13">
        <v>34.630000000000003</v>
      </c>
      <c r="I181" s="13">
        <v>3.55</v>
      </c>
      <c r="J181" s="10">
        <f t="shared" si="6"/>
        <v>4.2845192380803931</v>
      </c>
      <c r="K181" s="10">
        <f t="shared" si="7"/>
        <v>-0.73451923808039332</v>
      </c>
      <c r="L181" s="10">
        <f t="shared" si="8"/>
        <v>0.53951851111020155</v>
      </c>
    </row>
    <row r="182" spans="1:12" x14ac:dyDescent="0.3">
      <c r="A182" s="1">
        <v>1</v>
      </c>
      <c r="B182" s="1">
        <v>1</v>
      </c>
      <c r="C182" s="1">
        <v>1</v>
      </c>
      <c r="D182" s="1">
        <v>0</v>
      </c>
      <c r="E182" s="1">
        <v>0</v>
      </c>
      <c r="F182" s="1">
        <v>1</v>
      </c>
      <c r="G182" s="1">
        <v>4</v>
      </c>
      <c r="H182" s="13">
        <v>34.65</v>
      </c>
      <c r="I182" s="13">
        <v>3.68</v>
      </c>
      <c r="J182" s="10">
        <f t="shared" si="6"/>
        <v>4.6385876457458517</v>
      </c>
      <c r="K182" s="10">
        <f t="shared" si="7"/>
        <v>-0.95858764574585154</v>
      </c>
      <c r="L182" s="10">
        <f t="shared" si="8"/>
        <v>0.91889027457657413</v>
      </c>
    </row>
    <row r="183" spans="1:12" x14ac:dyDescent="0.3">
      <c r="A183" s="1">
        <v>1</v>
      </c>
      <c r="B183" s="1">
        <v>1</v>
      </c>
      <c r="C183" s="1">
        <v>1</v>
      </c>
      <c r="D183" s="1">
        <v>0</v>
      </c>
      <c r="E183" s="1">
        <v>0</v>
      </c>
      <c r="F183" s="1">
        <v>1</v>
      </c>
      <c r="G183" s="1">
        <v>2</v>
      </c>
      <c r="H183" s="13">
        <v>23.33</v>
      </c>
      <c r="I183" s="13">
        <v>5.65</v>
      </c>
      <c r="J183" s="10">
        <f t="shared" si="6"/>
        <v>3.2175735924007762</v>
      </c>
      <c r="K183" s="10">
        <f t="shared" si="7"/>
        <v>2.4324264075992241</v>
      </c>
      <c r="L183" s="10">
        <f t="shared" si="8"/>
        <v>5.9166982283860667</v>
      </c>
    </row>
    <row r="184" spans="1:12" x14ac:dyDescent="0.3">
      <c r="A184" s="1">
        <v>1</v>
      </c>
      <c r="B184" s="1">
        <v>1</v>
      </c>
      <c r="C184" s="1">
        <v>1</v>
      </c>
      <c r="D184" s="1">
        <v>0</v>
      </c>
      <c r="E184" s="1">
        <v>0</v>
      </c>
      <c r="F184" s="1">
        <v>1</v>
      </c>
      <c r="G184" s="1">
        <v>3</v>
      </c>
      <c r="H184" s="13">
        <v>45.35</v>
      </c>
      <c r="I184" s="13">
        <v>3.5</v>
      </c>
      <c r="J184" s="10">
        <f t="shared" si="6"/>
        <v>5.4727913060926534</v>
      </c>
      <c r="K184" s="10">
        <f t="shared" si="7"/>
        <v>-1.9727913060926534</v>
      </c>
      <c r="L184" s="10">
        <f t="shared" si="8"/>
        <v>3.8919055373947575</v>
      </c>
    </row>
    <row r="185" spans="1:12" x14ac:dyDescent="0.3">
      <c r="A185" s="1">
        <v>1</v>
      </c>
      <c r="B185" s="1">
        <v>1</v>
      </c>
      <c r="C185" s="1">
        <v>1</v>
      </c>
      <c r="D185" s="1">
        <v>0</v>
      </c>
      <c r="E185" s="1">
        <v>0</v>
      </c>
      <c r="F185" s="1">
        <v>1</v>
      </c>
      <c r="G185" s="1">
        <v>4</v>
      </c>
      <c r="H185" s="13">
        <v>23.17</v>
      </c>
      <c r="I185" s="13">
        <v>6.5</v>
      </c>
      <c r="J185" s="10">
        <f t="shared" si="6"/>
        <v>3.5546464057102769</v>
      </c>
      <c r="K185" s="10">
        <f t="shared" si="7"/>
        <v>2.9453535942897231</v>
      </c>
      <c r="L185" s="10">
        <f t="shared" si="8"/>
        <v>8.675107795395391</v>
      </c>
    </row>
    <row r="186" spans="1:12" x14ac:dyDescent="0.3">
      <c r="A186" s="1">
        <v>1</v>
      </c>
      <c r="B186" s="1">
        <v>1</v>
      </c>
      <c r="C186" s="1">
        <v>1</v>
      </c>
      <c r="D186" s="1">
        <v>0</v>
      </c>
      <c r="E186" s="1">
        <v>0</v>
      </c>
      <c r="F186" s="1">
        <v>1</v>
      </c>
      <c r="G186" s="1">
        <v>2</v>
      </c>
      <c r="H186" s="13">
        <v>40.549999999999997</v>
      </c>
      <c r="I186" s="13">
        <v>3</v>
      </c>
      <c r="J186" s="10">
        <f t="shared" si="6"/>
        <v>4.8434854524541393</v>
      </c>
      <c r="K186" s="10">
        <f t="shared" si="7"/>
        <v>-1.8434854524541393</v>
      </c>
      <c r="L186" s="10">
        <f t="shared" si="8"/>
        <v>3.3984386134100428</v>
      </c>
    </row>
    <row r="187" spans="1:12" x14ac:dyDescent="0.3">
      <c r="A187" s="1">
        <v>1</v>
      </c>
      <c r="B187" s="1">
        <v>0</v>
      </c>
      <c r="C187" s="1">
        <v>1</v>
      </c>
      <c r="D187" s="1">
        <v>0</v>
      </c>
      <c r="E187" s="1">
        <v>0</v>
      </c>
      <c r="F187" s="1">
        <v>1</v>
      </c>
      <c r="G187" s="1">
        <v>5</v>
      </c>
      <c r="H187" s="13">
        <v>20.69</v>
      </c>
      <c r="I187" s="13">
        <v>5</v>
      </c>
      <c r="J187" s="10">
        <f t="shared" si="6"/>
        <v>3.5798230134120717</v>
      </c>
      <c r="K187" s="10">
        <f t="shared" si="7"/>
        <v>1.4201769865879283</v>
      </c>
      <c r="L187" s="10">
        <f t="shared" si="8"/>
        <v>2.016902673233969</v>
      </c>
    </row>
    <row r="188" spans="1:12" x14ac:dyDescent="0.3">
      <c r="A188" s="1">
        <v>0</v>
      </c>
      <c r="B188" s="1">
        <v>1</v>
      </c>
      <c r="C188" s="1">
        <v>1</v>
      </c>
      <c r="D188" s="1">
        <v>0</v>
      </c>
      <c r="E188" s="1">
        <v>0</v>
      </c>
      <c r="F188" s="1">
        <v>1</v>
      </c>
      <c r="G188" s="1">
        <v>3</v>
      </c>
      <c r="H188" s="13">
        <v>20.9</v>
      </c>
      <c r="I188" s="13">
        <v>3.5</v>
      </c>
      <c r="J188" s="10">
        <f t="shared" si="6"/>
        <v>3.1985155931045259</v>
      </c>
      <c r="K188" s="10">
        <f t="shared" si="7"/>
        <v>0.30148440689547407</v>
      </c>
      <c r="L188" s="10">
        <f t="shared" si="8"/>
        <v>9.0892847601115767E-2</v>
      </c>
    </row>
    <row r="189" spans="1:12" x14ac:dyDescent="0.3">
      <c r="A189" s="1">
        <v>1</v>
      </c>
      <c r="B189" s="1">
        <v>1</v>
      </c>
      <c r="C189" s="1">
        <v>1</v>
      </c>
      <c r="D189" s="1">
        <v>0</v>
      </c>
      <c r="E189" s="1">
        <v>0</v>
      </c>
      <c r="F189" s="1">
        <v>1</v>
      </c>
      <c r="G189" s="1">
        <v>5</v>
      </c>
      <c r="H189" s="13">
        <v>30.46</v>
      </c>
      <c r="I189" s="13">
        <v>2</v>
      </c>
      <c r="J189" s="10">
        <f t="shared" si="6"/>
        <v>4.419057981272883</v>
      </c>
      <c r="K189" s="10">
        <f t="shared" si="7"/>
        <v>-2.419057981272883</v>
      </c>
      <c r="L189" s="10">
        <f t="shared" si="8"/>
        <v>5.8518415167600359</v>
      </c>
    </row>
    <row r="190" spans="1:12" x14ac:dyDescent="0.3">
      <c r="A190" s="1">
        <v>0</v>
      </c>
      <c r="B190" s="1">
        <v>1</v>
      </c>
      <c r="C190" s="1">
        <v>1</v>
      </c>
      <c r="D190" s="1">
        <v>0</v>
      </c>
      <c r="E190" s="1">
        <v>0</v>
      </c>
      <c r="F190" s="1">
        <v>1</v>
      </c>
      <c r="G190" s="1">
        <v>3</v>
      </c>
      <c r="H190" s="13">
        <v>18.149999999999999</v>
      </c>
      <c r="I190" s="13">
        <v>3.5</v>
      </c>
      <c r="J190" s="10">
        <f t="shared" si="6"/>
        <v>2.9388606793329375</v>
      </c>
      <c r="K190" s="10">
        <f t="shared" si="7"/>
        <v>0.56113932066706251</v>
      </c>
      <c r="L190" s="10">
        <f t="shared" si="8"/>
        <v>0.31487733719869243</v>
      </c>
    </row>
    <row r="191" spans="1:12" x14ac:dyDescent="0.3">
      <c r="A191" s="1">
        <v>1</v>
      </c>
      <c r="B191" s="1">
        <v>1</v>
      </c>
      <c r="C191" s="1">
        <v>1</v>
      </c>
      <c r="D191" s="1">
        <v>0</v>
      </c>
      <c r="E191" s="1">
        <v>0</v>
      </c>
      <c r="F191" s="1">
        <v>1</v>
      </c>
      <c r="G191" s="1">
        <v>3</v>
      </c>
      <c r="H191" s="13">
        <v>23.1</v>
      </c>
      <c r="I191" s="13">
        <v>4</v>
      </c>
      <c r="J191" s="10">
        <f t="shared" si="6"/>
        <v>3.371947003758895</v>
      </c>
      <c r="K191" s="10">
        <f t="shared" si="7"/>
        <v>0.628052996241105</v>
      </c>
      <c r="L191" s="10">
        <f t="shared" si="8"/>
        <v>0.39445056608742946</v>
      </c>
    </row>
    <row r="192" spans="1:12" x14ac:dyDescent="0.3">
      <c r="A192" s="1">
        <v>1</v>
      </c>
      <c r="B192" s="1">
        <v>1</v>
      </c>
      <c r="C192" s="1">
        <v>1</v>
      </c>
      <c r="D192" s="1">
        <v>0</v>
      </c>
      <c r="E192" s="1">
        <v>0</v>
      </c>
      <c r="F192" s="1">
        <v>1</v>
      </c>
      <c r="G192" s="1">
        <v>2</v>
      </c>
      <c r="H192" s="13">
        <v>15.69</v>
      </c>
      <c r="I192" s="13">
        <v>1.5</v>
      </c>
      <c r="J192" s="10">
        <f t="shared" si="6"/>
        <v>2.4962050319589828</v>
      </c>
      <c r="K192" s="10">
        <f t="shared" si="7"/>
        <v>-0.9962050319589828</v>
      </c>
      <c r="L192" s="10">
        <f t="shared" si="8"/>
        <v>0.992424465700398</v>
      </c>
    </row>
    <row r="193" spans="1:12" x14ac:dyDescent="0.3">
      <c r="A193" s="1">
        <v>0</v>
      </c>
      <c r="B193" s="1">
        <v>1</v>
      </c>
      <c r="C193" s="1">
        <v>0</v>
      </c>
      <c r="D193" s="1">
        <v>1</v>
      </c>
      <c r="E193" s="1">
        <v>0</v>
      </c>
      <c r="F193" s="1">
        <v>0</v>
      </c>
      <c r="G193" s="1">
        <v>2</v>
      </c>
      <c r="H193" s="13">
        <v>19.809999999999999</v>
      </c>
      <c r="I193" s="13">
        <v>4.1900000000000004</v>
      </c>
      <c r="J193" s="10">
        <f t="shared" si="6"/>
        <v>2.8534427527810351</v>
      </c>
      <c r="K193" s="10">
        <f t="shared" si="7"/>
        <v>1.3365572472189653</v>
      </c>
      <c r="L193" s="10">
        <f t="shared" si="8"/>
        <v>1.7863852750935383</v>
      </c>
    </row>
    <row r="194" spans="1:12" x14ac:dyDescent="0.3">
      <c r="A194" s="1">
        <v>1</v>
      </c>
      <c r="B194" s="1">
        <v>1</v>
      </c>
      <c r="C194" s="1">
        <v>0</v>
      </c>
      <c r="D194" s="1">
        <v>1</v>
      </c>
      <c r="E194" s="1">
        <v>0</v>
      </c>
      <c r="F194" s="1">
        <v>0</v>
      </c>
      <c r="G194" s="1">
        <v>2</v>
      </c>
      <c r="H194" s="13">
        <v>28.44</v>
      </c>
      <c r="I194" s="13">
        <v>2.56</v>
      </c>
      <c r="J194" s="10">
        <f t="shared" si="6"/>
        <v>3.6339945618176994</v>
      </c>
      <c r="K194" s="10">
        <f t="shared" si="7"/>
        <v>-1.0739945618176994</v>
      </c>
      <c r="L194" s="10">
        <f t="shared" si="8"/>
        <v>1.1534643188139921</v>
      </c>
    </row>
    <row r="195" spans="1:12" x14ac:dyDescent="0.3">
      <c r="A195" s="1">
        <v>1</v>
      </c>
      <c r="B195" s="1">
        <v>1</v>
      </c>
      <c r="C195" s="1">
        <v>0</v>
      </c>
      <c r="D195" s="1">
        <v>1</v>
      </c>
      <c r="E195" s="1">
        <v>0</v>
      </c>
      <c r="F195" s="1">
        <v>0</v>
      </c>
      <c r="G195" s="1">
        <v>2</v>
      </c>
      <c r="H195" s="13">
        <v>15.48</v>
      </c>
      <c r="I195" s="13">
        <v>2.02</v>
      </c>
      <c r="J195" s="10">
        <f t="shared" ref="J195:J244" si="9">A195*$N$2+B195*$N$3+C195*$N$4+D195*$N$5+E195*$N$6+F195*$N$7+G195*$N$8+H195*$N$9+$N$1</f>
        <v>2.4103117681886879</v>
      </c>
      <c r="K195" s="10">
        <f t="shared" ref="K195:K244" si="10">I195-J195</f>
        <v>-0.39031176818868785</v>
      </c>
      <c r="L195" s="10">
        <f t="shared" ref="L195:L244" si="11">K195^2</f>
        <v>0.15234327638657999</v>
      </c>
    </row>
    <row r="196" spans="1:12" x14ac:dyDescent="0.3">
      <c r="A196" s="1">
        <v>1</v>
      </c>
      <c r="B196" s="1">
        <v>1</v>
      </c>
      <c r="C196" s="1">
        <v>0</v>
      </c>
      <c r="D196" s="1">
        <v>1</v>
      </c>
      <c r="E196" s="1">
        <v>0</v>
      </c>
      <c r="F196" s="1">
        <v>0</v>
      </c>
      <c r="G196" s="1">
        <v>2</v>
      </c>
      <c r="H196" s="13">
        <v>16.579999999999998</v>
      </c>
      <c r="I196" s="13">
        <v>4</v>
      </c>
      <c r="J196" s="10">
        <f t="shared" si="9"/>
        <v>2.5141737336973229</v>
      </c>
      <c r="K196" s="10">
        <f t="shared" si="10"/>
        <v>1.4858262663026771</v>
      </c>
      <c r="L196" s="10">
        <f t="shared" si="11"/>
        <v>2.2076796936349541</v>
      </c>
    </row>
    <row r="197" spans="1:12" x14ac:dyDescent="0.3">
      <c r="A197" s="1">
        <v>1</v>
      </c>
      <c r="B197" s="1">
        <v>0</v>
      </c>
      <c r="C197" s="1">
        <v>0</v>
      </c>
      <c r="D197" s="1">
        <v>1</v>
      </c>
      <c r="E197" s="1">
        <v>0</v>
      </c>
      <c r="F197" s="1">
        <v>0</v>
      </c>
      <c r="G197" s="1">
        <v>2</v>
      </c>
      <c r="H197" s="13">
        <v>7.56</v>
      </c>
      <c r="I197" s="13">
        <v>1.44</v>
      </c>
      <c r="J197" s="10">
        <f t="shared" si="9"/>
        <v>1.7457537423196716</v>
      </c>
      <c r="K197" s="10">
        <f t="shared" si="10"/>
        <v>-0.30575374231967167</v>
      </c>
      <c r="L197" s="10">
        <f t="shared" si="11"/>
        <v>9.3485350942484183E-2</v>
      </c>
    </row>
    <row r="198" spans="1:12" x14ac:dyDescent="0.3">
      <c r="A198" s="1">
        <v>1</v>
      </c>
      <c r="B198" s="1">
        <v>1</v>
      </c>
      <c r="C198" s="1">
        <v>0</v>
      </c>
      <c r="D198" s="1">
        <v>1</v>
      </c>
      <c r="E198" s="1">
        <v>0</v>
      </c>
      <c r="F198" s="1">
        <v>0</v>
      </c>
      <c r="G198" s="1">
        <v>2</v>
      </c>
      <c r="H198" s="13">
        <v>10.34</v>
      </c>
      <c r="I198" s="13">
        <v>2</v>
      </c>
      <c r="J198" s="10">
        <f t="shared" si="9"/>
        <v>1.9249931293574285</v>
      </c>
      <c r="K198" s="10">
        <f t="shared" si="10"/>
        <v>7.5006870642571499E-2</v>
      </c>
      <c r="L198" s="10">
        <f t="shared" si="11"/>
        <v>5.6260306435914542E-3</v>
      </c>
    </row>
    <row r="199" spans="1:12" x14ac:dyDescent="0.3">
      <c r="A199" s="1">
        <v>0</v>
      </c>
      <c r="B199" s="1">
        <v>1</v>
      </c>
      <c r="C199" s="1">
        <v>0</v>
      </c>
      <c r="D199" s="1">
        <v>1</v>
      </c>
      <c r="E199" s="1">
        <v>0</v>
      </c>
      <c r="F199" s="1">
        <v>0</v>
      </c>
      <c r="G199" s="1">
        <v>4</v>
      </c>
      <c r="H199" s="13">
        <v>43.11</v>
      </c>
      <c r="I199" s="13">
        <v>5</v>
      </c>
      <c r="J199" s="10">
        <f t="shared" si="9"/>
        <v>5.4056080304837923</v>
      </c>
      <c r="K199" s="10">
        <f t="shared" si="10"/>
        <v>-0.40560803048379235</v>
      </c>
      <c r="L199" s="10">
        <f t="shared" si="11"/>
        <v>0.16451787439294102</v>
      </c>
    </row>
    <row r="200" spans="1:12" x14ac:dyDescent="0.3">
      <c r="A200" s="1">
        <v>0</v>
      </c>
      <c r="B200" s="1">
        <v>1</v>
      </c>
      <c r="C200" s="1">
        <v>0</v>
      </c>
      <c r="D200" s="1">
        <v>1</v>
      </c>
      <c r="E200" s="1">
        <v>0</v>
      </c>
      <c r="F200" s="1">
        <v>0</v>
      </c>
      <c r="G200" s="1">
        <v>2</v>
      </c>
      <c r="H200" s="13">
        <v>13</v>
      </c>
      <c r="I200" s="13">
        <v>2</v>
      </c>
      <c r="J200" s="10">
        <f t="shared" si="9"/>
        <v>2.210442766313939</v>
      </c>
      <c r="K200" s="10">
        <f t="shared" si="10"/>
        <v>-0.21044276631393899</v>
      </c>
      <c r="L200" s="10">
        <f t="shared" si="11"/>
        <v>4.4286157893863136E-2</v>
      </c>
    </row>
    <row r="201" spans="1:12" x14ac:dyDescent="0.3">
      <c r="A201" s="1">
        <v>1</v>
      </c>
      <c r="B201" s="1">
        <v>1</v>
      </c>
      <c r="C201" s="1">
        <v>0</v>
      </c>
      <c r="D201" s="1">
        <v>1</v>
      </c>
      <c r="E201" s="1">
        <v>0</v>
      </c>
      <c r="F201" s="1">
        <v>0</v>
      </c>
      <c r="G201" s="1">
        <v>2</v>
      </c>
      <c r="H201" s="13">
        <v>13.51</v>
      </c>
      <c r="I201" s="13">
        <v>2</v>
      </c>
      <c r="J201" s="10">
        <f t="shared" si="9"/>
        <v>2.2243044299595862</v>
      </c>
      <c r="K201" s="10">
        <f t="shared" si="10"/>
        <v>-0.22430442995958622</v>
      </c>
      <c r="L201" s="10">
        <f t="shared" si="11"/>
        <v>5.0312477299494916E-2</v>
      </c>
    </row>
    <row r="202" spans="1:12" x14ac:dyDescent="0.3">
      <c r="A202" s="1">
        <v>1</v>
      </c>
      <c r="B202" s="1">
        <v>1</v>
      </c>
      <c r="C202" s="1">
        <v>0</v>
      </c>
      <c r="D202" s="1">
        <v>1</v>
      </c>
      <c r="E202" s="1">
        <v>0</v>
      </c>
      <c r="F202" s="1">
        <v>0</v>
      </c>
      <c r="G202" s="1">
        <v>3</v>
      </c>
      <c r="H202" s="13">
        <v>18.71</v>
      </c>
      <c r="I202" s="13">
        <v>4</v>
      </c>
      <c r="J202" s="10">
        <f t="shared" si="9"/>
        <v>2.8913782710557854</v>
      </c>
      <c r="K202" s="10">
        <f t="shared" si="10"/>
        <v>1.1086217289442146</v>
      </c>
      <c r="L202" s="10">
        <f t="shared" si="11"/>
        <v>1.2290421378872596</v>
      </c>
    </row>
    <row r="203" spans="1:12" x14ac:dyDescent="0.3">
      <c r="A203" s="1">
        <v>0</v>
      </c>
      <c r="B203" s="1">
        <v>1</v>
      </c>
      <c r="C203" s="1">
        <v>0</v>
      </c>
      <c r="D203" s="1">
        <v>1</v>
      </c>
      <c r="E203" s="1">
        <v>0</v>
      </c>
      <c r="F203" s="1">
        <v>0</v>
      </c>
      <c r="G203" s="1">
        <v>2</v>
      </c>
      <c r="H203" s="13">
        <v>12.74</v>
      </c>
      <c r="I203" s="13">
        <v>2.0099999999999998</v>
      </c>
      <c r="J203" s="10">
        <f t="shared" si="9"/>
        <v>2.1858935744664434</v>
      </c>
      <c r="K203" s="10">
        <f t="shared" si="10"/>
        <v>-0.1758935744664436</v>
      </c>
      <c r="L203" s="10">
        <f t="shared" si="11"/>
        <v>3.0938549538582341E-2</v>
      </c>
    </row>
    <row r="204" spans="1:12" x14ac:dyDescent="0.3">
      <c r="A204" s="1">
        <v>0</v>
      </c>
      <c r="B204" s="1">
        <v>1</v>
      </c>
      <c r="C204" s="1">
        <v>0</v>
      </c>
      <c r="D204" s="1">
        <v>1</v>
      </c>
      <c r="E204" s="1">
        <v>0</v>
      </c>
      <c r="F204" s="1">
        <v>0</v>
      </c>
      <c r="G204" s="1">
        <v>2</v>
      </c>
      <c r="H204" s="13">
        <v>16.399999999999999</v>
      </c>
      <c r="I204" s="13">
        <v>2.5</v>
      </c>
      <c r="J204" s="10">
        <f t="shared" si="9"/>
        <v>2.531470659704266</v>
      </c>
      <c r="K204" s="10">
        <f t="shared" si="10"/>
        <v>-3.1470659704265991E-2</v>
      </c>
      <c r="L204" s="10">
        <f t="shared" si="11"/>
        <v>9.9040242222171119E-4</v>
      </c>
    </row>
    <row r="205" spans="1:12" x14ac:dyDescent="0.3">
      <c r="A205" s="1">
        <v>1</v>
      </c>
      <c r="B205" s="1">
        <v>1</v>
      </c>
      <c r="C205" s="1">
        <v>0</v>
      </c>
      <c r="D205" s="1">
        <v>1</v>
      </c>
      <c r="E205" s="1">
        <v>0</v>
      </c>
      <c r="F205" s="1">
        <v>0</v>
      </c>
      <c r="G205" s="1">
        <v>4</v>
      </c>
      <c r="H205" s="13">
        <v>20.53</v>
      </c>
      <c r="I205" s="13">
        <v>4</v>
      </c>
      <c r="J205" s="10">
        <f t="shared" si="9"/>
        <v>3.2393126181345417</v>
      </c>
      <c r="K205" s="10">
        <f t="shared" si="10"/>
        <v>0.76068738186545826</v>
      </c>
      <c r="L205" s="10">
        <f t="shared" si="11"/>
        <v>0.57864529292932554</v>
      </c>
    </row>
    <row r="206" spans="1:12" x14ac:dyDescent="0.3">
      <c r="A206" s="1">
        <v>0</v>
      </c>
      <c r="B206" s="1">
        <v>1</v>
      </c>
      <c r="C206" s="1">
        <v>0</v>
      </c>
      <c r="D206" s="1">
        <v>1</v>
      </c>
      <c r="E206" s="1">
        <v>0</v>
      </c>
      <c r="F206" s="1">
        <v>0</v>
      </c>
      <c r="G206" s="1">
        <v>3</v>
      </c>
      <c r="H206" s="13">
        <v>16.47</v>
      </c>
      <c r="I206" s="13">
        <v>3.23</v>
      </c>
      <c r="J206" s="10">
        <f t="shared" si="9"/>
        <v>2.7141700616556479</v>
      </c>
      <c r="K206" s="10">
        <f t="shared" si="10"/>
        <v>0.51582993834435209</v>
      </c>
      <c r="L206" s="10">
        <f t="shared" si="11"/>
        <v>0.26608052529233805</v>
      </c>
    </row>
    <row r="207" spans="1:12" x14ac:dyDescent="0.3">
      <c r="A207" s="1">
        <v>1</v>
      </c>
      <c r="B207" s="1">
        <v>1</v>
      </c>
      <c r="C207" s="1">
        <v>0</v>
      </c>
      <c r="D207" s="1">
        <v>0</v>
      </c>
      <c r="E207" s="1">
        <v>0</v>
      </c>
      <c r="F207" s="1">
        <v>1</v>
      </c>
      <c r="G207" s="1">
        <v>3</v>
      </c>
      <c r="H207" s="13">
        <v>26.59</v>
      </c>
      <c r="I207" s="13">
        <v>3.41</v>
      </c>
      <c r="J207" s="10">
        <f t="shared" si="9"/>
        <v>3.6045689398866667</v>
      </c>
      <c r="K207" s="10">
        <f t="shared" si="10"/>
        <v>-0.19456893988666657</v>
      </c>
      <c r="L207" s="10">
        <f t="shared" si="11"/>
        <v>3.7857072368621271E-2</v>
      </c>
    </row>
    <row r="208" spans="1:12" x14ac:dyDescent="0.3">
      <c r="A208" s="1">
        <v>1</v>
      </c>
      <c r="B208" s="1">
        <v>1</v>
      </c>
      <c r="C208" s="1">
        <v>0</v>
      </c>
      <c r="D208" s="1">
        <v>0</v>
      </c>
      <c r="E208" s="1">
        <v>0</v>
      </c>
      <c r="F208" s="1">
        <v>1</v>
      </c>
      <c r="G208" s="1">
        <v>4</v>
      </c>
      <c r="H208" s="13">
        <v>38.729999999999997</v>
      </c>
      <c r="I208" s="13">
        <v>3</v>
      </c>
      <c r="J208" s="10">
        <f t="shared" si="9"/>
        <v>4.9269173633737093</v>
      </c>
      <c r="K208" s="10">
        <f t="shared" si="10"/>
        <v>-1.9269173633737093</v>
      </c>
      <c r="L208" s="10">
        <f t="shared" si="11"/>
        <v>3.7130105252710877</v>
      </c>
    </row>
    <row r="209" spans="1:12" x14ac:dyDescent="0.3">
      <c r="A209" s="1">
        <v>1</v>
      </c>
      <c r="B209" s="1">
        <v>1</v>
      </c>
      <c r="C209" s="1">
        <v>0</v>
      </c>
      <c r="D209" s="1">
        <v>0</v>
      </c>
      <c r="E209" s="1">
        <v>0</v>
      </c>
      <c r="F209" s="1">
        <v>1</v>
      </c>
      <c r="G209" s="1">
        <v>2</v>
      </c>
      <c r="H209" s="13">
        <v>24.27</v>
      </c>
      <c r="I209" s="13">
        <v>2.0299999999999998</v>
      </c>
      <c r="J209" s="10">
        <f t="shared" si="9"/>
        <v>3.2094246084858034</v>
      </c>
      <c r="K209" s="10">
        <f t="shared" si="10"/>
        <v>-1.1794246084858035</v>
      </c>
      <c r="L209" s="10">
        <f t="shared" si="11"/>
        <v>1.391042407101891</v>
      </c>
    </row>
    <row r="210" spans="1:12" x14ac:dyDescent="0.3">
      <c r="A210" s="1">
        <v>0</v>
      </c>
      <c r="B210" s="1">
        <v>1</v>
      </c>
      <c r="C210" s="1">
        <v>0</v>
      </c>
      <c r="D210" s="1">
        <v>0</v>
      </c>
      <c r="E210" s="1">
        <v>0</v>
      </c>
      <c r="F210" s="1">
        <v>1</v>
      </c>
      <c r="G210" s="1">
        <v>2</v>
      </c>
      <c r="H210" s="13">
        <v>12.76</v>
      </c>
      <c r="I210" s="13">
        <v>2.23</v>
      </c>
      <c r="J210" s="10">
        <f t="shared" si="9"/>
        <v>2.1569432897538032</v>
      </c>
      <c r="K210" s="10">
        <f t="shared" si="10"/>
        <v>7.3056710246196754E-2</v>
      </c>
      <c r="L210" s="10">
        <f t="shared" si="11"/>
        <v>5.3372829119967494E-3</v>
      </c>
    </row>
    <row r="211" spans="1:12" x14ac:dyDescent="0.3">
      <c r="A211" s="1">
        <v>1</v>
      </c>
      <c r="B211" s="1">
        <v>1</v>
      </c>
      <c r="C211" s="1">
        <v>0</v>
      </c>
      <c r="D211" s="1">
        <v>0</v>
      </c>
      <c r="E211" s="1">
        <v>0</v>
      </c>
      <c r="F211" s="1">
        <v>1</v>
      </c>
      <c r="G211" s="1">
        <v>3</v>
      </c>
      <c r="H211" s="13">
        <v>30.06</v>
      </c>
      <c r="I211" s="13">
        <v>2</v>
      </c>
      <c r="J211" s="10">
        <f t="shared" si="9"/>
        <v>3.9322062310820884</v>
      </c>
      <c r="K211" s="10">
        <f t="shared" si="10"/>
        <v>-1.9322062310820884</v>
      </c>
      <c r="L211" s="10">
        <f t="shared" si="11"/>
        <v>3.733420919432449</v>
      </c>
    </row>
    <row r="212" spans="1:12" x14ac:dyDescent="0.3">
      <c r="A212" s="1">
        <v>1</v>
      </c>
      <c r="B212" s="1">
        <v>1</v>
      </c>
      <c r="C212" s="1">
        <v>0</v>
      </c>
      <c r="D212" s="1">
        <v>0</v>
      </c>
      <c r="E212" s="1">
        <v>0</v>
      </c>
      <c r="F212" s="1">
        <v>1</v>
      </c>
      <c r="G212" s="1">
        <v>4</v>
      </c>
      <c r="H212" s="13">
        <v>25.89</v>
      </c>
      <c r="I212" s="13">
        <v>5.16</v>
      </c>
      <c r="J212" s="10">
        <f t="shared" si="9"/>
        <v>3.7145649659820039</v>
      </c>
      <c r="K212" s="10">
        <f t="shared" si="10"/>
        <v>1.4454350340179962</v>
      </c>
      <c r="L212" s="10">
        <f t="shared" si="11"/>
        <v>2.0892824375666059</v>
      </c>
    </row>
    <row r="213" spans="1:12" x14ac:dyDescent="0.3">
      <c r="A213" s="1">
        <v>1</v>
      </c>
      <c r="B213" s="1">
        <v>0</v>
      </c>
      <c r="C213" s="1">
        <v>0</v>
      </c>
      <c r="D213" s="1">
        <v>0</v>
      </c>
      <c r="E213" s="1">
        <v>0</v>
      </c>
      <c r="F213" s="1">
        <v>1</v>
      </c>
      <c r="G213" s="1">
        <v>4</v>
      </c>
      <c r="H213" s="13">
        <v>48.33</v>
      </c>
      <c r="I213" s="13">
        <v>9</v>
      </c>
      <c r="J213" s="10">
        <f t="shared" si="9"/>
        <v>5.9165971881513206</v>
      </c>
      <c r="K213" s="10">
        <f t="shared" si="10"/>
        <v>3.0834028118486794</v>
      </c>
      <c r="L213" s="10">
        <f t="shared" si="11"/>
        <v>9.5073729001163425</v>
      </c>
    </row>
    <row r="214" spans="1:12" x14ac:dyDescent="0.3">
      <c r="A214" s="1">
        <v>0</v>
      </c>
      <c r="B214" s="1">
        <v>1</v>
      </c>
      <c r="C214" s="1">
        <v>0</v>
      </c>
      <c r="D214" s="1">
        <v>0</v>
      </c>
      <c r="E214" s="1">
        <v>0</v>
      </c>
      <c r="F214" s="1">
        <v>1</v>
      </c>
      <c r="G214" s="1">
        <v>2</v>
      </c>
      <c r="H214" s="13">
        <v>13.27</v>
      </c>
      <c r="I214" s="13">
        <v>2.5</v>
      </c>
      <c r="J214" s="10">
        <f t="shared" si="9"/>
        <v>2.2050974737623523</v>
      </c>
      <c r="K214" s="10">
        <f t="shared" si="10"/>
        <v>0.29490252623764768</v>
      </c>
      <c r="L214" s="10">
        <f t="shared" si="11"/>
        <v>8.696749998134648E-2</v>
      </c>
    </row>
    <row r="215" spans="1:12" x14ac:dyDescent="0.3">
      <c r="A215" s="1">
        <v>0</v>
      </c>
      <c r="B215" s="1">
        <v>1</v>
      </c>
      <c r="C215" s="1">
        <v>0</v>
      </c>
      <c r="D215" s="1">
        <v>0</v>
      </c>
      <c r="E215" s="1">
        <v>0</v>
      </c>
      <c r="F215" s="1">
        <v>1</v>
      </c>
      <c r="G215" s="1">
        <v>3</v>
      </c>
      <c r="H215" s="13">
        <v>28.17</v>
      </c>
      <c r="I215" s="13">
        <v>6.5</v>
      </c>
      <c r="J215" s="10">
        <f t="shared" si="9"/>
        <v>3.7880450107074264</v>
      </c>
      <c r="K215" s="10">
        <f t="shared" si="10"/>
        <v>2.7119549892925736</v>
      </c>
      <c r="L215" s="10">
        <f t="shared" si="11"/>
        <v>7.3546998639488832</v>
      </c>
    </row>
    <row r="216" spans="1:12" x14ac:dyDescent="0.3">
      <c r="A216" s="1">
        <v>0</v>
      </c>
      <c r="B216" s="1">
        <v>1</v>
      </c>
      <c r="C216" s="1">
        <v>0</v>
      </c>
      <c r="D216" s="1">
        <v>0</v>
      </c>
      <c r="E216" s="1">
        <v>0</v>
      </c>
      <c r="F216" s="1">
        <v>1</v>
      </c>
      <c r="G216" s="1">
        <v>2</v>
      </c>
      <c r="H216" s="13">
        <v>12.9</v>
      </c>
      <c r="I216" s="13">
        <v>1.1000000000000001</v>
      </c>
      <c r="J216" s="10">
        <f t="shared" si="9"/>
        <v>2.1701620853639936</v>
      </c>
      <c r="K216" s="10">
        <f t="shared" si="10"/>
        <v>-1.0701620853639935</v>
      </c>
      <c r="L216" s="10">
        <f t="shared" si="11"/>
        <v>1.1452468889506113</v>
      </c>
    </row>
    <row r="217" spans="1:12" x14ac:dyDescent="0.3">
      <c r="A217" s="1">
        <v>1</v>
      </c>
      <c r="B217" s="1">
        <v>1</v>
      </c>
      <c r="C217" s="1">
        <v>0</v>
      </c>
      <c r="D217" s="1">
        <v>0</v>
      </c>
      <c r="E217" s="1">
        <v>0</v>
      </c>
      <c r="F217" s="1">
        <v>1</v>
      </c>
      <c r="G217" s="1">
        <v>5</v>
      </c>
      <c r="H217" s="13">
        <v>28.15</v>
      </c>
      <c r="I217" s="13">
        <v>3</v>
      </c>
      <c r="J217" s="10">
        <f t="shared" si="9"/>
        <v>4.1040440992642138</v>
      </c>
      <c r="K217" s="10">
        <f t="shared" si="10"/>
        <v>-1.1040440992642138</v>
      </c>
      <c r="L217" s="10">
        <f t="shared" si="11"/>
        <v>1.2189133731201292</v>
      </c>
    </row>
    <row r="218" spans="1:12" x14ac:dyDescent="0.3">
      <c r="A218" s="1">
        <v>1</v>
      </c>
      <c r="B218" s="1">
        <v>1</v>
      </c>
      <c r="C218" s="1">
        <v>0</v>
      </c>
      <c r="D218" s="1">
        <v>0</v>
      </c>
      <c r="E218" s="1">
        <v>0</v>
      </c>
      <c r="F218" s="1">
        <v>1</v>
      </c>
      <c r="G218" s="1">
        <v>2</v>
      </c>
      <c r="H218" s="13">
        <v>11.59</v>
      </c>
      <c r="I218" s="13">
        <v>1.5</v>
      </c>
      <c r="J218" s="10">
        <f t="shared" si="9"/>
        <v>2.0121794060771716</v>
      </c>
      <c r="K218" s="10">
        <f t="shared" si="10"/>
        <v>-0.51217940607717161</v>
      </c>
      <c r="L218" s="10">
        <f t="shared" si="11"/>
        <v>0.26232774400956427</v>
      </c>
    </row>
    <row r="219" spans="1:12" x14ac:dyDescent="0.3">
      <c r="A219" s="1">
        <v>1</v>
      </c>
      <c r="B219" s="1">
        <v>1</v>
      </c>
      <c r="C219" s="1">
        <v>0</v>
      </c>
      <c r="D219" s="1">
        <v>0</v>
      </c>
      <c r="E219" s="1">
        <v>0</v>
      </c>
      <c r="F219" s="1">
        <v>1</v>
      </c>
      <c r="G219" s="1">
        <v>2</v>
      </c>
      <c r="H219" s="13">
        <v>7.74</v>
      </c>
      <c r="I219" s="13">
        <v>1.44</v>
      </c>
      <c r="J219" s="10">
        <f t="shared" si="9"/>
        <v>1.6486625267969481</v>
      </c>
      <c r="K219" s="10">
        <f t="shared" si="10"/>
        <v>-0.20866252679694819</v>
      </c>
      <c r="L219" s="10">
        <f t="shared" si="11"/>
        <v>4.3540050089287123E-2</v>
      </c>
    </row>
    <row r="220" spans="1:12" x14ac:dyDescent="0.3">
      <c r="A220" s="1">
        <v>0</v>
      </c>
      <c r="B220" s="1">
        <v>1</v>
      </c>
      <c r="C220" s="1">
        <v>0</v>
      </c>
      <c r="D220" s="1">
        <v>0</v>
      </c>
      <c r="E220" s="1">
        <v>0</v>
      </c>
      <c r="F220" s="1">
        <v>1</v>
      </c>
      <c r="G220" s="1">
        <v>4</v>
      </c>
      <c r="H220" s="13">
        <v>30.14</v>
      </c>
      <c r="I220" s="13">
        <v>3.09</v>
      </c>
      <c r="J220" s="10">
        <f t="shared" si="9"/>
        <v>4.1501423530828143</v>
      </c>
      <c r="K220" s="10">
        <f t="shared" si="10"/>
        <v>-1.0601423530828145</v>
      </c>
      <c r="L220" s="10">
        <f t="shared" si="11"/>
        <v>1.1239018087999668</v>
      </c>
    </row>
    <row r="221" spans="1:12" x14ac:dyDescent="0.3">
      <c r="A221" s="1">
        <v>1</v>
      </c>
      <c r="B221" s="1">
        <v>1</v>
      </c>
      <c r="C221" s="1">
        <v>0</v>
      </c>
      <c r="D221" s="1">
        <v>0</v>
      </c>
      <c r="E221" s="1">
        <v>1</v>
      </c>
      <c r="F221" s="1">
        <v>0</v>
      </c>
      <c r="G221" s="1">
        <v>2</v>
      </c>
      <c r="H221" s="13">
        <v>12.16</v>
      </c>
      <c r="I221" s="13">
        <v>2.2000000000000002</v>
      </c>
      <c r="J221" s="10">
        <f t="shared" si="9"/>
        <v>2.2539908352296663</v>
      </c>
      <c r="K221" s="10">
        <f t="shared" si="10"/>
        <v>-5.3990835229666079E-2</v>
      </c>
      <c r="L221" s="10">
        <f t="shared" si="11"/>
        <v>2.9150102887969516E-3</v>
      </c>
    </row>
    <row r="222" spans="1:12" x14ac:dyDescent="0.3">
      <c r="A222" s="1">
        <v>0</v>
      </c>
      <c r="B222" s="1">
        <v>1</v>
      </c>
      <c r="C222" s="1">
        <v>0</v>
      </c>
      <c r="D222" s="1">
        <v>0</v>
      </c>
      <c r="E222" s="1">
        <v>1</v>
      </c>
      <c r="F222" s="1">
        <v>0</v>
      </c>
      <c r="G222" s="1">
        <v>2</v>
      </c>
      <c r="H222" s="13">
        <v>13.42</v>
      </c>
      <c r="I222" s="13">
        <v>3.48</v>
      </c>
      <c r="J222" s="10">
        <f t="shared" si="9"/>
        <v>2.4072525160842773</v>
      </c>
      <c r="K222" s="10">
        <f t="shared" si="10"/>
        <v>1.0727474839157227</v>
      </c>
      <c r="L222" s="10">
        <f t="shared" si="11"/>
        <v>1.1507871642475138</v>
      </c>
    </row>
    <row r="223" spans="1:12" x14ac:dyDescent="0.3">
      <c r="A223" s="1">
        <v>1</v>
      </c>
      <c r="B223" s="1">
        <v>1</v>
      </c>
      <c r="C223" s="1">
        <v>0</v>
      </c>
      <c r="D223" s="1">
        <v>0</v>
      </c>
      <c r="E223" s="1">
        <v>1</v>
      </c>
      <c r="F223" s="1">
        <v>0</v>
      </c>
      <c r="G223" s="1">
        <v>1</v>
      </c>
      <c r="H223" s="13">
        <v>8.58</v>
      </c>
      <c r="I223" s="13">
        <v>1.92</v>
      </c>
      <c r="J223" s="10">
        <f t="shared" si="9"/>
        <v>1.7398773433370935</v>
      </c>
      <c r="K223" s="10">
        <f t="shared" si="10"/>
        <v>0.18012265666290639</v>
      </c>
      <c r="L223" s="10">
        <f t="shared" si="11"/>
        <v>3.2444171443303256E-2</v>
      </c>
    </row>
    <row r="224" spans="1:12" x14ac:dyDescent="0.3">
      <c r="A224" s="1">
        <v>0</v>
      </c>
      <c r="B224" s="1">
        <v>0</v>
      </c>
      <c r="C224" s="1">
        <v>0</v>
      </c>
      <c r="D224" s="1">
        <v>0</v>
      </c>
      <c r="E224" s="1">
        <v>1</v>
      </c>
      <c r="F224" s="1">
        <v>0</v>
      </c>
      <c r="G224" s="1">
        <v>3</v>
      </c>
      <c r="H224" s="13">
        <v>15.98</v>
      </c>
      <c r="I224" s="13">
        <v>3</v>
      </c>
      <c r="J224" s="10">
        <f t="shared" si="9"/>
        <v>2.9083057657529103</v>
      </c>
      <c r="K224" s="10">
        <f t="shared" si="10"/>
        <v>9.1694234247089668E-2</v>
      </c>
      <c r="L224" s="10">
        <f t="shared" si="11"/>
        <v>8.4078325941601521E-3</v>
      </c>
    </row>
    <row r="225" spans="1:12" x14ac:dyDescent="0.3">
      <c r="A225" s="1">
        <v>1</v>
      </c>
      <c r="B225" s="1">
        <v>1</v>
      </c>
      <c r="C225" s="1">
        <v>0</v>
      </c>
      <c r="D225" s="1">
        <v>0</v>
      </c>
      <c r="E225" s="1">
        <v>1</v>
      </c>
      <c r="F225" s="1">
        <v>0</v>
      </c>
      <c r="G225" s="1">
        <v>2</v>
      </c>
      <c r="H225" s="13">
        <v>13.42</v>
      </c>
      <c r="I225" s="13">
        <v>1.58</v>
      </c>
      <c r="J225" s="10">
        <f t="shared" si="9"/>
        <v>2.3729599957213754</v>
      </c>
      <c r="K225" s="10">
        <f t="shared" si="10"/>
        <v>-0.79295999572137532</v>
      </c>
      <c r="L225" s="10">
        <f t="shared" si="11"/>
        <v>0.62878555481444354</v>
      </c>
    </row>
    <row r="226" spans="1:12" x14ac:dyDescent="0.3">
      <c r="A226" s="1">
        <v>0</v>
      </c>
      <c r="B226" s="1">
        <v>1</v>
      </c>
      <c r="C226" s="1">
        <v>0</v>
      </c>
      <c r="D226" s="1">
        <v>0</v>
      </c>
      <c r="E226" s="1">
        <v>1</v>
      </c>
      <c r="F226" s="1">
        <v>0</v>
      </c>
      <c r="G226" s="1">
        <v>2</v>
      </c>
      <c r="H226" s="13">
        <v>16.27</v>
      </c>
      <c r="I226" s="13">
        <v>2.5</v>
      </c>
      <c r="J226" s="10">
        <f t="shared" si="9"/>
        <v>2.6763494267202868</v>
      </c>
      <c r="K226" s="10">
        <f t="shared" si="10"/>
        <v>-0.17634942672028675</v>
      </c>
      <c r="L226" s="10">
        <f t="shared" si="11"/>
        <v>3.1099120304573787E-2</v>
      </c>
    </row>
    <row r="227" spans="1:12" x14ac:dyDescent="0.3">
      <c r="A227" s="1">
        <v>0</v>
      </c>
      <c r="B227" s="1">
        <v>1</v>
      </c>
      <c r="C227" s="1">
        <v>0</v>
      </c>
      <c r="D227" s="1">
        <v>0</v>
      </c>
      <c r="E227" s="1">
        <v>1</v>
      </c>
      <c r="F227" s="1">
        <v>0</v>
      </c>
      <c r="G227" s="1">
        <v>2</v>
      </c>
      <c r="H227" s="13">
        <v>10.09</v>
      </c>
      <c r="I227" s="13">
        <v>2</v>
      </c>
      <c r="J227" s="10">
        <f t="shared" si="9"/>
        <v>2.092834020499045</v>
      </c>
      <c r="K227" s="10">
        <f t="shared" si="10"/>
        <v>-9.2834020499044989E-2</v>
      </c>
      <c r="L227" s="10">
        <f t="shared" si="11"/>
        <v>8.6181553620171044E-3</v>
      </c>
    </row>
    <row r="228" spans="1:12" x14ac:dyDescent="0.3">
      <c r="A228" s="1">
        <v>1</v>
      </c>
      <c r="B228" s="1">
        <v>0</v>
      </c>
      <c r="C228" s="1">
        <v>0</v>
      </c>
      <c r="D228" s="1">
        <v>0</v>
      </c>
      <c r="E228" s="1">
        <v>0</v>
      </c>
      <c r="F228" s="1">
        <v>1</v>
      </c>
      <c r="G228" s="1">
        <v>4</v>
      </c>
      <c r="H228" s="13">
        <v>20.45</v>
      </c>
      <c r="I228" s="13">
        <v>3</v>
      </c>
      <c r="J228" s="10">
        <f t="shared" si="9"/>
        <v>3.284168462350638</v>
      </c>
      <c r="K228" s="10">
        <f t="shared" si="10"/>
        <v>-0.28416846235063797</v>
      </c>
      <c r="L228" s="10">
        <f t="shared" si="11"/>
        <v>8.0751714994725957E-2</v>
      </c>
    </row>
    <row r="229" spans="1:12" x14ac:dyDescent="0.3">
      <c r="A229" s="1">
        <v>1</v>
      </c>
      <c r="B229" s="1">
        <v>0</v>
      </c>
      <c r="C229" s="1">
        <v>0</v>
      </c>
      <c r="D229" s="1">
        <v>0</v>
      </c>
      <c r="E229" s="1">
        <v>0</v>
      </c>
      <c r="F229" s="1">
        <v>1</v>
      </c>
      <c r="G229" s="1">
        <v>2</v>
      </c>
      <c r="H229" s="13">
        <v>13.28</v>
      </c>
      <c r="I229" s="13">
        <v>2.72</v>
      </c>
      <c r="J229" s="10">
        <f t="shared" si="9"/>
        <v>2.2549972788790509</v>
      </c>
      <c r="K229" s="10">
        <f t="shared" si="10"/>
        <v>0.46500272112094931</v>
      </c>
      <c r="L229" s="10">
        <f t="shared" si="11"/>
        <v>0.21622753064988737</v>
      </c>
    </row>
    <row r="230" spans="1:12" x14ac:dyDescent="0.3">
      <c r="A230" s="1">
        <v>0</v>
      </c>
      <c r="B230" s="1">
        <v>1</v>
      </c>
      <c r="C230" s="1">
        <v>0</v>
      </c>
      <c r="D230" s="1">
        <v>0</v>
      </c>
      <c r="E230" s="1">
        <v>0</v>
      </c>
      <c r="F230" s="1">
        <v>1</v>
      </c>
      <c r="G230" s="1">
        <v>2</v>
      </c>
      <c r="H230" s="13">
        <v>22.12</v>
      </c>
      <c r="I230" s="13">
        <v>2.88</v>
      </c>
      <c r="J230" s="10">
        <f t="shared" si="9"/>
        <v>3.0407141962636457</v>
      </c>
      <c r="K230" s="10">
        <f t="shared" si="10"/>
        <v>-0.1607141962636458</v>
      </c>
      <c r="L230" s="10">
        <f t="shared" si="11"/>
        <v>2.5829052880669664E-2</v>
      </c>
    </row>
    <row r="231" spans="1:12" x14ac:dyDescent="0.3">
      <c r="A231" s="1">
        <v>1</v>
      </c>
      <c r="B231" s="1">
        <v>1</v>
      </c>
      <c r="C231" s="1">
        <v>0</v>
      </c>
      <c r="D231" s="1">
        <v>0</v>
      </c>
      <c r="E231" s="1">
        <v>0</v>
      </c>
      <c r="F231" s="1">
        <v>1</v>
      </c>
      <c r="G231" s="1">
        <v>4</v>
      </c>
      <c r="H231" s="13">
        <v>24.01</v>
      </c>
      <c r="I231" s="13">
        <v>2</v>
      </c>
      <c r="J231" s="10">
        <f t="shared" si="9"/>
        <v>3.5370554249308821</v>
      </c>
      <c r="K231" s="10">
        <f t="shared" si="10"/>
        <v>-1.5370554249308821</v>
      </c>
      <c r="L231" s="10">
        <f t="shared" si="11"/>
        <v>2.3625393793094545</v>
      </c>
    </row>
    <row r="232" spans="1:12" x14ac:dyDescent="0.3">
      <c r="A232" s="1">
        <v>1</v>
      </c>
      <c r="B232" s="1">
        <v>1</v>
      </c>
      <c r="C232" s="1">
        <v>0</v>
      </c>
      <c r="D232" s="1">
        <v>0</v>
      </c>
      <c r="E232" s="1">
        <v>0</v>
      </c>
      <c r="F232" s="1">
        <v>1</v>
      </c>
      <c r="G232" s="1">
        <v>3</v>
      </c>
      <c r="H232" s="13">
        <v>15.69</v>
      </c>
      <c r="I232" s="13">
        <v>3</v>
      </c>
      <c r="J232" s="10">
        <f t="shared" si="9"/>
        <v>2.5753912816647357</v>
      </c>
      <c r="K232" s="10">
        <f t="shared" si="10"/>
        <v>0.42460871833526426</v>
      </c>
      <c r="L232" s="10">
        <f t="shared" si="11"/>
        <v>0.18029256368631577</v>
      </c>
    </row>
    <row r="233" spans="1:12" x14ac:dyDescent="0.3">
      <c r="A233" s="1">
        <v>1</v>
      </c>
      <c r="B233" s="1">
        <v>0</v>
      </c>
      <c r="C233" s="1">
        <v>0</v>
      </c>
      <c r="D233" s="1">
        <v>0</v>
      </c>
      <c r="E233" s="1">
        <v>0</v>
      </c>
      <c r="F233" s="1">
        <v>1</v>
      </c>
      <c r="G233" s="1">
        <v>2</v>
      </c>
      <c r="H233" s="13">
        <v>11.61</v>
      </c>
      <c r="I233" s="13">
        <v>3.39</v>
      </c>
      <c r="J233" s="10">
        <f t="shared" si="9"/>
        <v>2.0973159312432137</v>
      </c>
      <c r="K233" s="10">
        <f t="shared" si="10"/>
        <v>1.2926840687567864</v>
      </c>
      <c r="L233" s="10">
        <f t="shared" si="11"/>
        <v>1.6710321016176002</v>
      </c>
    </row>
    <row r="234" spans="1:12" x14ac:dyDescent="0.3">
      <c r="A234" s="1">
        <v>1</v>
      </c>
      <c r="B234" s="1">
        <v>0</v>
      </c>
      <c r="C234" s="1">
        <v>0</v>
      </c>
      <c r="D234" s="1">
        <v>0</v>
      </c>
      <c r="E234" s="1">
        <v>0</v>
      </c>
      <c r="F234" s="1">
        <v>1</v>
      </c>
      <c r="G234" s="1">
        <v>2</v>
      </c>
      <c r="H234" s="13">
        <v>10.77</v>
      </c>
      <c r="I234" s="13">
        <v>1.47</v>
      </c>
      <c r="J234" s="10">
        <f t="shared" si="9"/>
        <v>2.0180031575820738</v>
      </c>
      <c r="K234" s="10">
        <f t="shared" si="10"/>
        <v>-0.54800315758207385</v>
      </c>
      <c r="L234" s="10">
        <f t="shared" si="11"/>
        <v>0.30030746071992326</v>
      </c>
    </row>
    <row r="235" spans="1:12" x14ac:dyDescent="0.3">
      <c r="A235" s="1">
        <v>1</v>
      </c>
      <c r="B235" s="1">
        <v>1</v>
      </c>
      <c r="C235" s="1">
        <v>0</v>
      </c>
      <c r="D235" s="1">
        <v>0</v>
      </c>
      <c r="E235" s="1">
        <v>0</v>
      </c>
      <c r="F235" s="1">
        <v>1</v>
      </c>
      <c r="G235" s="1">
        <v>2</v>
      </c>
      <c r="H235" s="13">
        <v>15.53</v>
      </c>
      <c r="I235" s="13">
        <v>3</v>
      </c>
      <c r="J235" s="10">
        <f t="shared" si="9"/>
        <v>2.384194082535374</v>
      </c>
      <c r="K235" s="10">
        <f t="shared" si="10"/>
        <v>0.61580591746462598</v>
      </c>
      <c r="L235" s="10">
        <f t="shared" si="11"/>
        <v>0.37921692798444973</v>
      </c>
    </row>
    <row r="236" spans="1:12" x14ac:dyDescent="0.3">
      <c r="A236" s="1">
        <v>1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">
        <v>2</v>
      </c>
      <c r="H236" s="13">
        <v>10.07</v>
      </c>
      <c r="I236" s="13">
        <v>1.25</v>
      </c>
      <c r="J236" s="10">
        <f t="shared" si="9"/>
        <v>1.9519091795311245</v>
      </c>
      <c r="K236" s="10">
        <f t="shared" si="10"/>
        <v>-0.70190917953112453</v>
      </c>
      <c r="L236" s="10">
        <f t="shared" si="11"/>
        <v>0.49267649631005639</v>
      </c>
    </row>
    <row r="237" spans="1:12" x14ac:dyDescent="0.3">
      <c r="A237" s="1">
        <v>1</v>
      </c>
      <c r="B237" s="1">
        <v>1</v>
      </c>
      <c r="C237" s="1">
        <v>0</v>
      </c>
      <c r="D237" s="1">
        <v>0</v>
      </c>
      <c r="E237" s="1">
        <v>0</v>
      </c>
      <c r="F237" s="1">
        <v>1</v>
      </c>
      <c r="G237" s="1">
        <v>2</v>
      </c>
      <c r="H237" s="13">
        <v>12.6</v>
      </c>
      <c r="I237" s="13">
        <v>1</v>
      </c>
      <c r="J237" s="10">
        <f t="shared" si="9"/>
        <v>2.1075435744078277</v>
      </c>
      <c r="K237" s="10">
        <f t="shared" si="10"/>
        <v>-1.1075435744078277</v>
      </c>
      <c r="L237" s="10">
        <f t="shared" si="11"/>
        <v>1.2266527692120675</v>
      </c>
    </row>
    <row r="238" spans="1:12" x14ac:dyDescent="0.3">
      <c r="A238" s="1">
        <v>1</v>
      </c>
      <c r="B238" s="1">
        <v>1</v>
      </c>
      <c r="C238" s="1">
        <v>0</v>
      </c>
      <c r="D238" s="1">
        <v>0</v>
      </c>
      <c r="E238" s="1">
        <v>0</v>
      </c>
      <c r="F238" s="1">
        <v>1</v>
      </c>
      <c r="G238" s="1">
        <v>2</v>
      </c>
      <c r="H238" s="13">
        <v>32.83</v>
      </c>
      <c r="I238" s="13">
        <v>1.17</v>
      </c>
      <c r="J238" s="10">
        <f t="shared" si="9"/>
        <v>4.0176595400802739</v>
      </c>
      <c r="K238" s="10">
        <f t="shared" si="10"/>
        <v>-2.847659540080274</v>
      </c>
      <c r="L238" s="10">
        <f t="shared" si="11"/>
        <v>8.1091648562101977</v>
      </c>
    </row>
    <row r="239" spans="1:12" x14ac:dyDescent="0.3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1</v>
      </c>
      <c r="G239" s="1">
        <v>3</v>
      </c>
      <c r="H239" s="13">
        <v>35.83</v>
      </c>
      <c r="I239" s="13">
        <v>4.67</v>
      </c>
      <c r="J239" s="10">
        <f t="shared" si="9"/>
        <v>4.5945500963152623</v>
      </c>
      <c r="K239" s="10">
        <f t="shared" si="10"/>
        <v>7.5449903684737585E-2</v>
      </c>
      <c r="L239" s="10">
        <f t="shared" si="11"/>
        <v>5.6926879660361782E-3</v>
      </c>
    </row>
    <row r="240" spans="1:12" x14ac:dyDescent="0.3">
      <c r="A240" s="1">
        <v>1</v>
      </c>
      <c r="B240" s="1">
        <v>0</v>
      </c>
      <c r="C240" s="1">
        <v>0</v>
      </c>
      <c r="D240" s="1">
        <v>0</v>
      </c>
      <c r="E240" s="1">
        <v>0</v>
      </c>
      <c r="F240" s="1">
        <v>1</v>
      </c>
      <c r="G240" s="1">
        <v>3</v>
      </c>
      <c r="H240" s="13">
        <v>29.03</v>
      </c>
      <c r="I240" s="13">
        <v>5.92</v>
      </c>
      <c r="J240" s="10">
        <f t="shared" si="9"/>
        <v>3.9182017891717065</v>
      </c>
      <c r="K240" s="10">
        <f t="shared" si="10"/>
        <v>2.0017982108282935</v>
      </c>
      <c r="L240" s="10">
        <f t="shared" si="11"/>
        <v>4.0071960768753572</v>
      </c>
    </row>
    <row r="241" spans="1:12" x14ac:dyDescent="0.3">
      <c r="A241" s="1">
        <v>0</v>
      </c>
      <c r="B241" s="1">
        <v>1</v>
      </c>
      <c r="C241" s="1">
        <v>0</v>
      </c>
      <c r="D241" s="1">
        <v>0</v>
      </c>
      <c r="E241" s="1">
        <v>0</v>
      </c>
      <c r="F241" s="1">
        <v>1</v>
      </c>
      <c r="G241" s="1">
        <v>2</v>
      </c>
      <c r="H241" s="13">
        <v>27.18</v>
      </c>
      <c r="I241" s="13">
        <v>2</v>
      </c>
      <c r="J241" s="10">
        <f t="shared" si="9"/>
        <v>3.5184792376033673</v>
      </c>
      <c r="K241" s="10">
        <f t="shared" si="10"/>
        <v>-1.5184792376033673</v>
      </c>
      <c r="L241" s="10">
        <f t="shared" si="11"/>
        <v>2.3057791950325037</v>
      </c>
    </row>
    <row r="242" spans="1:12" x14ac:dyDescent="0.3">
      <c r="A242" s="1">
        <v>1</v>
      </c>
      <c r="B242" s="1">
        <v>1</v>
      </c>
      <c r="C242" s="1">
        <v>0</v>
      </c>
      <c r="D242" s="1">
        <v>0</v>
      </c>
      <c r="E242" s="1">
        <v>0</v>
      </c>
      <c r="F242" s="1">
        <v>1</v>
      </c>
      <c r="G242" s="1">
        <v>2</v>
      </c>
      <c r="H242" s="13">
        <v>22.67</v>
      </c>
      <c r="I242" s="13">
        <v>2</v>
      </c>
      <c r="J242" s="10">
        <f t="shared" si="9"/>
        <v>3.0583526586550613</v>
      </c>
      <c r="K242" s="10">
        <f t="shared" si="10"/>
        <v>-1.0583526586550613</v>
      </c>
      <c r="L242" s="10">
        <f t="shared" si="11"/>
        <v>1.1201103500822367</v>
      </c>
    </row>
    <row r="243" spans="1:12" x14ac:dyDescent="0.3">
      <c r="A243" s="1">
        <v>1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2</v>
      </c>
      <c r="H243" s="13">
        <v>17.82</v>
      </c>
      <c r="I243" s="13">
        <v>1.75</v>
      </c>
      <c r="J243" s="10">
        <f t="shared" si="9"/>
        <v>2.6836639365237818</v>
      </c>
      <c r="K243" s="10">
        <f t="shared" si="10"/>
        <v>-0.93366393652378177</v>
      </c>
      <c r="L243" s="10">
        <f t="shared" si="11"/>
        <v>0.87172834636508434</v>
      </c>
    </row>
    <row r="244" spans="1:12" x14ac:dyDescent="0.3">
      <c r="A244" s="1">
        <v>0</v>
      </c>
      <c r="B244" s="1">
        <v>0</v>
      </c>
      <c r="C244" s="1">
        <v>0</v>
      </c>
      <c r="D244" s="1">
        <v>1</v>
      </c>
      <c r="E244" s="1">
        <v>0</v>
      </c>
      <c r="F244" s="1">
        <v>1</v>
      </c>
      <c r="G244" s="1">
        <v>2</v>
      </c>
      <c r="H244" s="13">
        <v>18.78</v>
      </c>
      <c r="I244" s="13">
        <v>3</v>
      </c>
      <c r="J244" s="10">
        <f t="shared" si="9"/>
        <v>2.7715699033446342</v>
      </c>
      <c r="K244" s="10">
        <f t="shared" si="10"/>
        <v>0.22843009665536584</v>
      </c>
      <c r="L244" s="10">
        <f t="shared" si="11"/>
        <v>5.2180309057979782E-2</v>
      </c>
    </row>
    <row r="246" spans="1:12" x14ac:dyDescent="0.3">
      <c r="K246" s="11" t="s">
        <v>56</v>
      </c>
      <c r="L246" s="10">
        <f>AVERAGE(L2:L244)</f>
        <v>1.0143350788903103</v>
      </c>
    </row>
    <row r="247" spans="1:12" x14ac:dyDescent="0.3">
      <c r="K247" s="11" t="s">
        <v>57</v>
      </c>
      <c r="L247" s="10">
        <f>SQRT(L246)</f>
        <v>1.0071420351123819</v>
      </c>
    </row>
    <row r="248" spans="1:12" x14ac:dyDescent="0.3">
      <c r="K248" s="11" t="s">
        <v>58</v>
      </c>
      <c r="L248" s="10">
        <f>AVERAGE(I2:I244)</f>
        <v>3.0023868312757203</v>
      </c>
    </row>
    <row r="249" spans="1:12" x14ac:dyDescent="0.3">
      <c r="K249" s="11" t="s">
        <v>59</v>
      </c>
      <c r="L249" s="12">
        <f>L247/L248</f>
        <v>0.33544712647318842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Banbud Lyngdoh</cp:lastModifiedBy>
  <cp:revision/>
  <dcterms:created xsi:type="dcterms:W3CDTF">2021-10-26T16:10:41Z</dcterms:created>
  <dcterms:modified xsi:type="dcterms:W3CDTF">2025-11-21T12:58:53Z</dcterms:modified>
  <cp:category/>
  <cp:contentStatus/>
</cp:coreProperties>
</file>